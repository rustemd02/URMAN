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29b37ef85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6f23aed7581b4968"/>
    <x:sheet xmlns:r="http://schemas.openxmlformats.org/officeDocument/2006/relationships" name="Источники" sheetId="2" r:id="R0c2c0a40839c4062"/>
    <x:sheet xmlns:r="http://schemas.openxmlformats.org/officeDocument/2006/relationships" name="Утверждения" sheetId="3" r:id="Rcc5a6d73b9614505"/>
    <x:sheet xmlns:r="http://schemas.openxmlformats.org/officeDocument/2006/relationships" name="Визуальные" sheetId="4" r:id="R5bee1c6002624cb9"/>
    <x:sheet xmlns:r="http://schemas.openxmlformats.org/officeDocument/2006/relationships" name="Размеры" sheetId="5" r:id="R2a7b48f984a44dd8"/>
    <x:sheet xmlns:r="http://schemas.openxmlformats.org/officeDocument/2006/relationships" name="Поселения" sheetId="6" r:id="Re6ed9e120cb64bf0"/>
    <x:sheet xmlns:r="http://schemas.openxmlformats.org/officeDocument/2006/relationships" name="Мотивы Шурале" sheetId="7" r:id="R76f4e09860dd4474"/>
    <x:sheet xmlns:r="http://schemas.openxmlformats.org/officeDocument/2006/relationships" name="Пробелы" sheetId="8" r:id="R30a3f2aadbd54c2e"/>
    <x:sheet xmlns:r="http://schemas.openxmlformats.org/officeDocument/2006/relationships" name="Хозяйства" sheetId="9" r:id="Re6841d7e60994042"/>
    <x:sheet xmlns:r="http://schemas.openxmlformats.org/officeDocument/2006/relationships" name="Объекты" sheetId="10" r:id="R6fd3ecfed1404c3c"/>
    <x:sheet xmlns:r="http://schemas.openxmlformats.org/officeDocument/2006/relationships" name="Растения" sheetId="11" r:id="R5b3a2ba1e9c44eef"/>
    <x:sheet xmlns:r="http://schemas.openxmlformats.org/officeDocument/2006/relationships" name="Сезоны" sheetId="12" r:id="R501698c0c9f3465a"/>
    <x:sheet xmlns:r="http://schemas.openxmlformats.org/officeDocument/2006/relationships" name="Хронология" sheetId="13" r:id="R5ef7a172ee8348e6"/>
    <x:sheet xmlns:r="http://schemas.openxmlformats.org/officeDocument/2006/relationships" name="Язык" sheetId="14" r:id="R18372075261e4eb4"/>
    <x:sheet xmlns:r="http://schemas.openxmlformats.org/officeDocument/2006/relationships" name="Звук и видео" sheetId="15" r:id="Rc90f320b09194fe4"/>
    <x:sheet xmlns:r="http://schemas.openxmlformats.org/officeDocument/2006/relationships" name="Сцены" sheetId="16" r:id="Rcffad8a8cfd543c9"/>
    <x:sheet xmlns:r="http://schemas.openxmlformats.org/officeDocument/2006/relationships" name="Свет" sheetId="17" r:id="R1b6229b62d7c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4E52"/>
      </x:patternFill>
    </x:fill>
    <x:fill>
      <x:patternFill patternType="solid">
        <x:fgColor rgb="FFFFF1DB"/>
      </x:patternFill>
    </x:fill>
    <x:fill>
      <x:patternFill patternType="solid">
        <x:fgColor rgb="FFDCE9E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  <x:dxf>
      <x:fill>
        <x:patternFill patternType="solid">
          <x:bgColor rgb="FFFFF1DB"/>
        </x:patternFill>
      </x:fill>
    </x:dxf>
    <x:dxf>
      <x:fill>
        <x:patternFill patternType="solid">
          <x:bgColor rgb="FFF5E0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1462f75274ea6" /><Relationship Type="http://schemas.openxmlformats.org/officeDocument/2006/relationships/theme" Target="/xl/theme/theme1.xml" Id="Ref13ac02cc854630" /><Relationship Type="http://schemas.microsoft.com/office/2022/11/relationships/FeaturePropertyBag" Target="/xl/featurePropertyBag/featurePropertyBag.xml" Id="R5a2cb197825d43e0" /><Relationship Type="http://schemas.openxmlformats.org/officeDocument/2006/relationships/sharedStrings" Target="/xl/sharedStrings.xml" Id="R4d53478eff81478b" /><Relationship Type="http://schemas.openxmlformats.org/officeDocument/2006/relationships/worksheet" Target="/xl/worksheets/sheet1.xml" Id="R6f23aed7581b4968" /><Relationship Type="http://schemas.openxmlformats.org/officeDocument/2006/relationships/worksheet" Target="/xl/worksheets/sheet2.xml" Id="R0c2c0a40839c4062" /><Relationship Type="http://schemas.openxmlformats.org/officeDocument/2006/relationships/worksheet" Target="/xl/worksheets/sheet3.xml" Id="Rcc5a6d73b9614505" /><Relationship Type="http://schemas.openxmlformats.org/officeDocument/2006/relationships/worksheet" Target="/xl/worksheets/sheet4.xml" Id="R5bee1c6002624cb9" /><Relationship Type="http://schemas.openxmlformats.org/officeDocument/2006/relationships/worksheet" Target="/xl/worksheets/sheet5.xml" Id="R2a7b48f984a44dd8" /><Relationship Type="http://schemas.openxmlformats.org/officeDocument/2006/relationships/worksheet" Target="/xl/worksheets/sheet6.xml" Id="Re6ed9e120cb64bf0" /><Relationship Type="http://schemas.openxmlformats.org/officeDocument/2006/relationships/worksheet" Target="/xl/worksheets/sheet7.xml" Id="R76f4e09860dd4474" /><Relationship Type="http://schemas.openxmlformats.org/officeDocument/2006/relationships/worksheet" Target="/xl/worksheets/sheet8.xml" Id="R30a3f2aadbd54c2e" /><Relationship Type="http://schemas.openxmlformats.org/officeDocument/2006/relationships/worksheet" Target="/xl/worksheets/sheet9.xml" Id="Re6841d7e60994042" /><Relationship Type="http://schemas.openxmlformats.org/officeDocument/2006/relationships/worksheet" Target="/xl/worksheets/sheet10.xml" Id="R6fd3ecfed1404c3c" /><Relationship Type="http://schemas.openxmlformats.org/officeDocument/2006/relationships/worksheet" Target="/xl/worksheets/sheet11.xml" Id="R5b3a2ba1e9c44eef" /><Relationship Type="http://schemas.openxmlformats.org/officeDocument/2006/relationships/worksheet" Target="/xl/worksheets/sheet12.xml" Id="R501698c0c9f3465a" /><Relationship Type="http://schemas.openxmlformats.org/officeDocument/2006/relationships/worksheet" Target="/xl/worksheets/sheet13.xml" Id="R5ef7a172ee8348e6" /><Relationship Type="http://schemas.openxmlformats.org/officeDocument/2006/relationships/worksheet" Target="/xl/worksheets/sheet14.xml" Id="R18372075261e4eb4" /><Relationship Type="http://schemas.openxmlformats.org/officeDocument/2006/relationships/worksheet" Target="/xl/worksheets/sheet15.xml" Id="Rc90f320b09194fe4" /><Relationship Type="http://schemas.openxmlformats.org/officeDocument/2006/relationships/worksheet" Target="/xl/worksheets/sheet16.xml" Id="Rcffad8a8cfd543c9" /><Relationship Type="http://schemas.openxmlformats.org/officeDocument/2006/relationships/worksheet" Target="/xl/worksheets/sheet17.xml" Id="R1b6229b62d7c4a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earchTable1" displayName="ResearchTable1" ref="A1:N59" headerRowCount="1" totalsRowCount="0" totalsRowShown="0">
  <x:tableColumns count="14">
    <x:tableColumn id="1" name="source_id"/>
    <x:tableColumn id="2" name="author"/>
    <x:tableColumn id="3" name="title"/>
    <x:tableColumn id="4" name="publication_year"/>
    <x:tableColumn id="5" name="type"/>
    <x:tableColumn id="6" name="institution"/>
    <x:tableColumn id="7" name="url"/>
    <x:tableColumn id="8" name="doi_or_catalog_id"/>
    <x:tableColumn id="9" name="geography"/>
    <x:tableColumn id="10" name="described_period"/>
    <x:tableColumn id="11" name="access_level"/>
    <x:tableColumn id="12" name="actually_read"/>
    <x:tableColumn id="13" name="checked_on"/>
    <x:tableColumn id="14" name="limit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1:I41" headerRowCount="1" totalsRowCount="0" totalsRowShown="0">
  <x:tableColumns count="9">
    <x:tableColumn id="1" name="claim_id"/>
    <x:tableColumn id="2" name="text"/>
    <x:tableColumn id="3" name="evidence_status"/>
    <x:tableColumn id="4" name="scope"/>
    <x:tableColumn id="5" name="source_ids"/>
    <x:tableColumn id="6" name="source_locators"/>
    <x:tableColumn id="7" name="contradictions_or_limits"/>
    <x:tableColumn id="8" name="production_application"/>
    <x:tableColumn id="9" name="source_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1:Y19" headerRowCount="1" totalsRowCount="0" totalsRowShown="0">
  <x:tableColumns count="25">
    <x:tableColumn id="1" name="visual_id"/>
    <x:tableColumn id="2" name="title"/>
    <x:tableColumn id="3" name="object"/>
    <x:tableColumn id="4" name="place"/>
    <x:tableColumn id="5" name="localization_precision"/>
    <x:tableColumn id="6" name="shooting_date"/>
    <x:tableColumn id="7" name="date_basis"/>
    <x:tableColumn id="8" name="publication_date"/>
    <x:tableColumn id="9" name="author"/>
    <x:tableColumn id="10" name="organization"/>
    <x:tableColumn id="11" name="source_page"/>
    <x:tableColumn id="12" name="direct_file_url"/>
    <x:tableColumn id="13" name="thumbnail_url"/>
    <x:tableColumn id="14" name="classification"/>
    <x:tableColumn id="15" name="observed_features"/>
    <x:tableColumn id="16" name="cannot_establish"/>
    <x:tableColumn id="17" name="claim_ids"/>
    <x:tableColumn id="18" name="source_ids"/>
    <x:tableColumn id="19" name="rights"/>
    <x:tableColumn id="20" name="local_path"/>
    <x:tableColumn id="21" name="access"/>
    <x:tableColumn id="22" name="local_file_origin"/>
    <x:tableColumn id="23" name="changes"/>
    <x:tableColumn id="24" name="original_file_access"/>
    <x:tableColumn id="25" name="source_ur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1:M32" headerRowCount="1" totalsRowCount="0" totalsRowShown="0">
  <x:tableColumns count="13">
    <x:tableColumn id="1" name="dimension_id"/>
    <x:tableColumn id="2" name="object_id"/>
    <x:tableColumn id="3" name="parameter"/>
    <x:tableColumn id="4" name="unit"/>
    <x:tableColumn id="5" name="observed_value"/>
    <x:tableColumn id="6" name="proposed_game_value"/>
    <x:tableColumn id="7" name="method"/>
    <x:tableColumn id="8" name="precision_or_error"/>
    <x:tableColumn id="9" name="evidence_status"/>
    <x:tableColumn id="10" name="date_of_material"/>
    <x:tableColumn id="11" name="source_ids"/>
    <x:tableColumn id="12" name="limits"/>
    <x:tableColumn id="13" name="source_ur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1:I12" headerRowCount="1" totalsRowCount="0" totalsRowShown="0">
  <x:tableColumns count="9">
    <x:tableColumn id="1" name="village_id"/>
    <x:tableColumn id="2" name="name"/>
    <x:tableColumn id="3" name="district"/>
    <x:tableColumn id="4" name="period"/>
    <x:tableColumn id="5" name="source_ids"/>
    <x:tableColumn id="6" name="role"/>
    <x:tableColumn id="7" name="available_material"/>
    <x:tableColumn id="8" name="limits"/>
    <x:tableColumn id="9" name="source_url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1:L13" headerRowCount="1" totalsRowCount="0" totalsRowShown="0">
  <x:tableColumns count="12">
    <x:tableColumn id="1" name="motif_id"/>
    <x:tableColumn id="2" name="motif"/>
    <x:tableColumn id="3" name="source_ids"/>
    <x:tableColumn id="4" name="region_time"/>
    <x:tableColumn id="5" name="layer"/>
    <x:tableColumn id="6" name="agreement_and_difference"/>
    <x:tableColumn id="7" name="game_application"/>
    <x:tableColumn id="8" name="distortion_risk"/>
    <x:tableColumn id="9" name="collector"/>
    <x:tableColumn id="10" name="performer"/>
    <x:tableColumn id="11" name="primary_record_passport"/>
    <x:tableColumn id="12" name="source_ur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1:F19" headerRowCount="1" totalsRowCount="0" totalsRowShown="0">
  <x:tableColumns count="6">
    <x:tableColumn id="1" name="gap_id"/>
    <x:tableColumn id="2" name="question"/>
    <x:tableColumn id="3" name="impact"/>
    <x:tableColumn id="4" name="verification_method"/>
    <x:tableColumn id="5" name="priority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Table8" displayName="ResearchTable8" ref="A1:O7" headerRowCount="1" totalsRowCount="0" totalsRowShown="0">
  <x:tableColumns count="15">
    <x:tableColumn id="1" name="household_id"/>
    <x:tableColumn id="2" name="name"/>
    <x:tableColumn id="3" name="family"/>
    <x:tableColumn id="4" name="time"/>
    <x:tableColumn id="5" name="building"/>
    <x:tableColumn id="6" name="interior"/>
    <x:tableColumn id="7" name="water"/>
    <x:tableColumn id="8" name="yard"/>
    <x:tableColumn id="9" name="repair_history"/>
    <x:tableColumn id="10" name="must_not"/>
    <x:tableColumn id="11" name="plan"/>
    <x:tableColumn id="12" name="evidence_status"/>
    <x:tableColumn id="13" name="source_ids"/>
    <x:tableColumn id="14" name="claim_ids"/>
    <x:tableColumn id="15" name="source_ur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Table9" displayName="ResearchTable9" ref="A1:Y57" headerRowCount="1" totalsRowCount="0" totalsRowShown="0">
  <x:tableColumns count="25">
    <x:tableColumn id="1" name="asset_id"/>
    <x:tableColumn id="2" name="name_ru"/>
    <x:tableColumn id="3" name="name_tt"/>
    <x:tableColumn id="4" name="category"/>
    <x:tableColumn id="5" name="function"/>
    <x:tableColumn id="6" name="region"/>
    <x:tableColumn id="7" name="time_period"/>
    <x:tableColumn id="8" name="household_context"/>
    <x:tableColumn id="9" name="shape_and_proportions"/>
    <x:tableColumn id="10" name="dimensions"/>
    <x:tableColumn id="11" name="materials"/>
    <x:tableColumn id="12" name="surface_and_color"/>
    <x:tableColumn id="13" name="construction_details"/>
    <x:tableColumn id="14" name="placement"/>
    <x:tableColumn id="15" name="neighboring_objects"/>
    <x:tableColumn id="16" name="wear_and_repair"/>
    <x:tableColumn id="17" name="seasonal_variants"/>
    <x:tableColumn id="18" name="sound"/>
    <x:tableColumn id="19" name="evidence_status"/>
    <x:tableColumn id="20" name="claim_ids"/>
    <x:tableColumn id="21" name="source_ids"/>
    <x:tableColumn id="22" name="visual_reference_ids"/>
    <x:tableColumn id="23" name="production_priority"/>
    <x:tableColumn id="24" name="common_mistakes"/>
    <x:tableColumn id="25" name="source_url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Table10" displayName="ResearchTable10" ref="A1:P13" headerRowCount="1" totalsRowCount="0" totalsRowShown="0">
  <x:tableColumns count="16">
    <x:tableColumn id="1" name="plant_id"/>
    <x:tableColumn id="2" name="name_ru"/>
    <x:tableColumn id="3" name="taxon"/>
    <x:tableColumn id="4" name="identification_confidence"/>
    <x:tableColumn id="5" name="evidence_status"/>
    <x:tableColumn id="6" name="source_ids"/>
    <x:tableColumn id="7" name="visual_ids"/>
    <x:tableColumn id="8" name="scope"/>
    <x:tableColumn id="9" name="appearance"/>
    <x:tableColumn id="10" name="seasonal_stages"/>
    <x:tableColumn id="11" name="placement"/>
    <x:tableColumn id="12" name="observed_adult_height_m"/>
    <x:tableColumn id="13" name="proposed_game_height_m"/>
    <x:tableColumn id="14" name="height_status"/>
    <x:tableColumn id="15" name="limits"/>
    <x:tableColumn id="16" name="source_ur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Table11" displayName="ResearchTable11" ref="A1:K11" headerRowCount="1" totalsRowCount="0" totalsRowShown="0">
  <x:tableColumns count="11">
    <x:tableColumn id="1" name="season_id"/>
    <x:tableColumn id="2" name="name"/>
    <x:tableColumn id="3" name="time_window"/>
    <x:tableColumn id="4" name="evidence_status"/>
    <x:tableColumn id="5" name="road_and_verge"/>
    <x:tableColumn id="6" name="water"/>
    <x:tableColumn id="7" name="vegetation"/>
    <x:tableColumn id="8" name="household_activity"/>
    <x:tableColumn id="9" name="sound"/>
    <x:tableColumn id="10" name="visual_ids"/>
    <x:tableColumn id="11" name="limit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Table12" displayName="ResearchTable12" ref="A1:L17" headerRowCount="1" totalsRowCount="0" totalsRowShown="0">
  <x:tableColumns count="12">
    <x:tableColumn id="1" name="chronology_id"/>
    <x:tableColumn id="2" name="marker"/>
    <x:tableColumn id="3" name="technology_appearance"/>
    <x:tableColumn id="4" name="availability"/>
    <x:tableColumn id="5" name="actual_presence_in_village"/>
    <x:tableColumn id="6" name="period_2005_2010"/>
    <x:tableColumn id="7" name="period_2011_2018"/>
    <x:tableColumn id="8" name="period_2019_2026"/>
    <x:tableColumn id="9" name="source_ids"/>
    <x:tableColumn id="10" name="evidence_status"/>
    <x:tableColumn id="11" name="incompatibilities"/>
    <x:tableColumn id="12" name="source_url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Table13" displayName="ResearchTable13" ref="A1:I11" headerRowCount="1" totalsRowCount="0" totalsRowShown="0">
  <x:tableColumns count="9">
    <x:tableColumn id="1" name="term_id"/>
    <x:tableColumn id="2" name="name_tt"/>
    <x:tableColumn id="3" name="translation_ru"/>
    <x:tableColumn id="4" name="source_ids"/>
    <x:tableColumn id="5" name="context"/>
    <x:tableColumn id="6" name="spelling_status"/>
    <x:tableColumn id="7" name="pronunciation_status"/>
    <x:tableColumn id="8" name="limits"/>
    <x:tableColumn id="9" name="source_url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earchTable14" displayName="ResearchTable14" ref="A1:T17" headerRowCount="1" totalsRowCount="0" totalsRowShown="0">
  <x:tableColumns count="20">
    <x:tableColumn id="1" name="av_id"/>
    <x:tableColumn id="2" name="title"/>
    <x:tableColumn id="3" name="place"/>
    <x:tableColumn id="4" name="season_time"/>
    <x:tableColumn id="5" name="continuous_or_event"/>
    <x:tableColumn id="6" name="sound_character"/>
    <x:tableColumn id="7" name="distance_and_barriers"/>
    <x:tableColumn id="8" name="source_ids"/>
    <x:tableColumn id="9" name="url"/>
    <x:tableColumn id="10" name="start_timecode"/>
    <x:tableColumn id="11" name="end_timecode"/>
    <x:tableColumn id="12" name="actually_listened"/>
    <x:tableColumn id="13" name="recording_status"/>
    <x:tableColumn id="14" name="confirmed_by_recording"/>
    <x:tableColumn id="15" name="game_use"/>
    <x:tableColumn id="16" name="rights"/>
    <x:tableColumn id="17" name="needs_own_recording"/>
    <x:tableColumn id="18" name="evidence_status"/>
    <x:tableColumn id="19" name="mixing_notes"/>
    <x:tableColumn id="20" name="source_url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Table15" displayName="ResearchTable15" ref="A1:V13" headerRowCount="1" totalsRowCount="0" totalsRowShown="0">
  <x:tableColumns count="22">
    <x:tableColumn id="1" name="scene_id"/>
    <x:tableColumn id="2" name="name"/>
    <x:tableColumn id="3" name="evidence_status"/>
    <x:tableColumn id="4" name="time_anchor"/>
    <x:tableColumn id="5" name="spatial_layout"/>
    <x:tableColumn id="6" name="observed_dimensions"/>
    <x:tableColumn id="7" name="proposed_dimensions"/>
    <x:tableColumn id="8" name="critical_assets"/>
    <x:tableColumn id="9" name="desired_assets"/>
    <x:tableColumn id="10" name="optional_assets"/>
    <x:tableColumn id="11" name="spatial_dependencies"/>
    <x:tableColumn id="12" name="materials"/>
    <x:tableColumn id="13" name="vegetation"/>
    <x:tableColumn id="14" name="wear"/>
    <x:tableColumn id="15" name="seasonal_variants"/>
    <x:tableColumn id="16" name="sound_ids"/>
    <x:tableColumn id="17" name="source_ids"/>
    <x:tableColumn id="18" name="visual_reference_notes"/>
    <x:tableColumn id="19" name="connected_scenes"/>
    <x:tableColumn id="20" name="diagram_path"/>
    <x:tableColumn id="21" name="shurale_variant"/>
    <x:tableColumn id="22" name="source_url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Table16" displayName="ResearchTable16" ref="A1:K5" headerRowCount="1" totalsRowCount="0" totalsRowShown="0">
  <x:tableColumns count="11">
    <x:tableColumn id="1" name="light_id"/>
    <x:tableColumn id="2" name="state"/>
    <x:tableColumn id="3" name="assumed_latitude_deg"/>
    <x:tableColumn id="4" name="declination_deg"/>
    <x:tableColumn id="5" name="geometric_day_hours"/>
    <x:tableColumn id="6" name="evidence_status"/>
    <x:tableColumn id="7" name="method"/>
    <x:tableColumn id="8" name="error"/>
    <x:tableColumn id="9" name="source_ids"/>
    <x:tableColumn id="10" name="application"/>
    <x:tableColumn id="11" name="source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f93fbc2b96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26e1e68837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c348849d7a41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d6b4e029da4c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5eef2e42594a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c40dccf75a4b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31e6d1d4e147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873b8f681340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ee680e0c0941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259e9979d243d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892eea84bee4d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e497dee2cae4b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4d60bcdfe044b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5decbbb41b647a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f6ef0337ca9431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a79eb7df3b54838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  <x:selection pane="bottomLeft" activeCell="A8" sqref="A8"/>
    </x:sheetView>
  </x:sheetViews>
  <x:sheetFormatPr defaultRowHeight="15"/>
  <x:cols>
    <x:col min="1" max="1" width="28" hidden="0" customWidth="1"/>
    <x:col min="2" max="2" width="12" hidden="0" customWidth="1"/>
    <x:col min="3" max="3" width="70" hidden="0" customWidth="1"/>
    <x:col min="4" max="4" width="4" hidden="0" customWidth="1"/>
    <x:col min="5" max="5" width="4" hidden="0" customWidth="1"/>
  </x:cols>
  <x:sheetData>
    <x:row r="1" ht="25" customHeight="1">
      <x:c r="A1" s="8" t="str">
        <x:v>ШУРАЛЕ · ИССЛЕДОВАТЕЛЬСКАЯ БАЗА</x:v>
      </x:c>
      <x:c r="B1" s="8"/>
      <x:c r="C1" s="8"/>
      <x:c r="D1" s="8"/>
      <x:c r="E1" s="8"/>
    </x:row>
    <x:row r="2" ht="25" customHeight="1">
      <x:c r="A2" s="8"/>
      <x:c r="B2" s="8"/>
      <x:c r="C2" s="8"/>
      <x:c r="D2" s="8"/>
      <x:c r="E2" s="8"/>
    </x:row>
    <x:row r="3">
      <x:c r="A3" s="28" t="str">
        <x:v>Верховья Ии · Арский район · ориентир 2015 ±1 год · версия 14.09.2026</x:v>
      </x:c>
      <x:c r="B3" s="28"/>
      <x:c r="C3" s="28"/>
      <x:c r="D3" s="28"/>
      <x:c r="E3" s="28"/>
    </x:row>
    <x:row r="4" ht="25" customHeight="1">
      <x:c r="A4" s="29" t="str">
        <x:v>330 записей — не 330 полевых наблюдений. Факты, каталожные сведения, расчеты и игровые предложения разделены статусами.</x:v>
      </x:c>
      <x:c r="B4" s="29"/>
      <x:c r="C4" s="29"/>
      <x:c r="D4" s="29"/>
      <x:c r="E4" s="29"/>
    </x:row>
    <x:row r="5" ht="25" customHeight="1">
      <x:c r="A5" s="29"/>
      <x:c r="B5" s="29"/>
      <x:c r="C5" s="29"/>
      <x:c r="D5" s="29"/>
      <x:c r="E5" s="29"/>
    </x:row>
    <x:row r="6">
      <x:c r="A6" s="28"/>
      <x:c r="B6" s="28"/>
      <x:c r="C6" s="28"/>
      <x:c r="D6" s="28"/>
      <x:c r="E6" s="28"/>
    </x:row>
    <x:row r="7" ht="28" customHeight="1">
      <x:c r="A7" s="8" t="str">
        <x:v>Реестр</x:v>
      </x:c>
      <x:c r="B7" s="8" t="str">
        <x:v>Записей</x:v>
      </x:c>
      <x:c r="C7" s="8" t="str">
        <x:v>Что учитывать</x:v>
      </x:c>
      <x:c r="D7" s="28"/>
      <x:c r="E7" s="28"/>
    </x:row>
    <x:row r="8" ht="44" customHeight="1">
      <x:c r="A8" s="28" t="str">
        <x:v>Источники</x:v>
      </x:c>
      <x:c r="B8" s="28" t="n">
        <x:f>COUNTA('Источники'!A2:A59)</x:f>
        <x:v>58</x:v>
      </x:c>
      <x:c r="C8" s="28" t="str">
        <x:v>Уровень доступа и реально прочитанный объем указаны раздельно.</x:v>
      </x:c>
      <x:c r="D8" s="28"/>
      <x:c r="E8" s="28"/>
    </x:row>
    <x:row r="9" ht="44" customHeight="1">
      <x:c r="A9" s="28" t="str">
        <x:v>Утверждения</x:v>
      </x:c>
      <x:c r="B9" s="28" t="n">
        <x:f>COUNTA('Утверждения'!A2:A41)</x:f>
        <x:v>40</x:v>
      </x:c>
      <x:c r="C9" s="28" t="str">
        <x:v>Границы применимости обязательны при пересказе.</x:v>
      </x:c>
      <x:c r="D9" s="28"/>
      <x:c r="E9" s="28"/>
    </x:row>
    <x:row r="10" ht="44" customHeight="1">
      <x:c r="A10" s="28" t="str">
        <x:v>Визуальные</x:v>
      </x:c>
      <x:c r="B10" s="28" t="n">
        <x:f>COUNTA('Визуальные'!A2:A19)</x:f>
        <x:v>18</x:v>
      </x:c>
      <x:c r="C10" s="28" t="str">
        <x:v>4 локальные миниатюры; 14 внешних референсов.</x:v>
      </x:c>
      <x:c r="D10" s="28"/>
      <x:c r="E10" s="28"/>
    </x:row>
    <x:row r="11" ht="44" customHeight="1">
      <x:c r="A11" s="28" t="str">
        <x:v>Размеры</x:v>
      </x:c>
      <x:c r="B11" s="28" t="n">
        <x:f>COUNTA('Размеры'!A2:A32)</x:f>
        <x:v>31</x:v>
      </x:c>
      <x:c r="C11" s="28" t="str">
        <x:v>Наблюдаемое и предлагаемое значения — разные поля.</x:v>
      </x:c>
      <x:c r="D11" s="28"/>
      <x:c r="E11" s="28"/>
    </x:row>
    <x:row r="12" ht="44" customHeight="1">
      <x:c r="A12" s="28" t="str">
        <x:v>Поселения</x:v>
      </x:c>
      <x:c r="B12" s="28" t="n">
        <x:f>COUNTA('Поселения'!A2:A12)</x:f>
        <x:v>11</x:v>
      </x:c>
      <x:c r="C12" s="28" t="str">
        <x:v>11 поселений, не репрезентативная выборка Татарстана.</x:v>
      </x:c>
      <x:c r="D12" s="28"/>
      <x:c r="E12" s="28"/>
    </x:row>
    <x:row r="13" ht="44" customHeight="1">
      <x:c r="A13" s="28" t="str">
        <x:v>Мотивы Шурале</x:v>
      </x:c>
      <x:c r="B13" s="28" t="n">
        <x:f>COUNTA('Мотивы Шурале'!A2:A13)</x:f>
        <x:v>12</x:v>
      </x:c>
      <x:c r="C13" s="28" t="str">
        <x:v>Народный, литературный и художественный слои разделены.</x:v>
      </x:c>
      <x:c r="D13" s="28"/>
      <x:c r="E13" s="28"/>
    </x:row>
    <x:row r="14" ht="44" customHeight="1">
      <x:c r="A14" s="28" t="str">
        <x:v>Пробелы</x:v>
      </x:c>
      <x:c r="B14" s="28" t="n">
        <x:f>COUNTA('Пробелы'!A2:A19)</x:f>
        <x:v>18</x:v>
      </x:c>
      <x:c r="C14" s="28" t="str">
        <x:v>Невыполненные проверки не помечены выполненными.</x:v>
      </x:c>
      <x:c r="D14" s="28"/>
      <x:c r="E14" s="28"/>
    </x:row>
    <x:row r="15" ht="44" customHeight="1">
      <x:c r="A15" s="28" t="str">
        <x:v>Хозяйства</x:v>
      </x:c>
      <x:c r="B15" s="28" t="n">
        <x:f>COUNTA('Хозяйства'!A2:A7)</x:f>
        <x:v>6</x:v>
      </x:c>
      <x:c r="C15" s="28" t="str">
        <x:v>6 согласованных производственных моделей, не обследования.</x:v>
      </x:c>
      <x:c r="D15" s="28"/>
      <x:c r="E15" s="28"/>
    </x:row>
    <x:row r="16" ht="44" customHeight="1">
      <x:c r="A16" s="28" t="str">
        <x:v>Объекты</x:v>
      </x:c>
      <x:c r="B16" s="28" t="n">
        <x:f>COUNTA('Объекты'!A2:A57)</x:f>
        <x:v>56</x:v>
      </x:c>
      <x:c r="C16" s="28" t="str">
        <x:v>56 предметных карточек со связями и ограничениями.</x:v>
      </x:c>
      <x:c r="D16" s="28"/>
      <x:c r="E16" s="28"/>
    </x:row>
    <x:row r="17" ht="44" customHeight="1">
      <x:c r="A17" s="28" t="str">
        <x:v>Растения</x:v>
      </x:c>
      <x:c r="B17" s="28" t="n">
        <x:f>COUNTA('Растения'!A2:A13)</x:f>
        <x:v>12</x:v>
      </x:c>
      <x:c r="C17" s="28" t="str">
        <x:v>Локальные наблюдения не равны региональной типичности.</x:v>
      </x:c>
      <x:c r="D17" s="28"/>
      <x:c r="E17" s="28"/>
    </x:row>
    <x:row r="18" ht="44" customHeight="1">
      <x:c r="A18" s="28" t="str">
        <x:v>Сезоны</x:v>
      </x:c>
      <x:c r="B18" s="28" t="n">
        <x:f>COUNTA('Сезоны'!A2:A11)</x:f>
        <x:v>10</x:v>
      </x:c>
      <x:c r="C18" s="28" t="str">
        <x:v>10 реконструированных сезонных состояний.</x:v>
      </x:c>
      <x:c r="D18" s="28"/>
      <x:c r="E18" s="28"/>
    </x:row>
    <x:row r="19" ht="44" customHeight="1">
      <x:c r="A19" s="28" t="str">
        <x:v>Хронология</x:v>
      </x:c>
      <x:c r="B19" s="28" t="n">
        <x:f>COUNTA('Хронология'!A2:A17)</x:f>
        <x:v>16</x:v>
      </x:c>
      <x:c r="C19" s="28" t="str">
        <x:v>Появление технологии не доказывает ее наличие в доме.</x:v>
      </x:c>
      <x:c r="D19" s="28"/>
      <x:c r="E19" s="28"/>
    </x:row>
    <x:row r="20" ht="44" customHeight="1">
      <x:c r="A20" s="28" t="str">
        <x:v>Язык</x:v>
      </x:c>
      <x:c r="B20" s="28" t="n">
        <x:f>COUNTA('Язык'!A2:A11)</x:f>
        <x:v>10</x:v>
      </x:c>
      <x:c r="C20" s="28" t="str">
        <x:v>Произношение и локальная речь требуют проверки носителем.</x:v>
      </x:c>
      <x:c r="D20" s="28"/>
      <x:c r="E20" s="28"/>
    </x:row>
    <x:row r="21" ht="44" customHeight="1">
      <x:c r="A21" s="28" t="str">
        <x:v>Звук и видео</x:v>
      </x:c>
      <x:c r="B21" s="28" t="n">
        <x:f>COUNTA('Звук и видео'!A2:A17)</x:f>
        <x:v>16</x:v>
      </x:c>
      <x:c r="C21" s="28" t="str">
        <x:v>0 прослушанных полевых записей. Таймкоды не выдуманы.</x:v>
      </x:c>
      <x:c r="D21" s="28"/>
      <x:c r="E21" s="28"/>
    </x:row>
    <x:row r="22" ht="44" customHeight="1">
      <x:c r="A22" s="28" t="str">
        <x:v>Сцены</x:v>
      </x:c>
      <x:c r="B22" s="28" t="n">
        <x:f>COUNTA('Сцены'!A2:A13)</x:f>
        <x:v>12</x:v>
      </x:c>
      <x:c r="C22" s="28" t="str">
        <x:v>12 связанных паспортов сборки среды.</x:v>
      </x:c>
      <x:c r="D22" s="28"/>
      <x:c r="E22" s="28"/>
    </x:row>
    <x:row r="23" ht="44" customHeight="1">
      <x:c r="A23" s="28" t="str">
        <x:v>Свет</x:v>
      </x:c>
      <x:c r="B23" s="28" t="n">
        <x:f>COUNTA('Свет'!A2:A5)</x:f>
        <x:v>4</x:v>
      </x:c>
      <x:c r="C23" s="28" t="str">
        <x:v>Геометрическая оценка, не измерение освещенности.</x:v>
      </x:c>
      <x:c r="D23" s="28"/>
      <x:c r="E23" s="28"/>
    </x:row>
    <x:row r="24" ht="44" customHeight="1">
      <x:c r="A24" s="36" t="str">
        <x:v>Всего записей</x:v>
      </x:c>
      <x:c r="B24" s="36" t="n">
        <x:f>SUM(B8:B23)</x:f>
        <x:v>330</x:v>
      </x:c>
      <x:c r="C24" s="36" t="str">
        <x:v>16 реестров + эта сводка.</x:v>
      </x:c>
      <x:c r="D24" s="28"/>
      <x:c r="E24" s="28"/>
    </x:row>
    <x:row r="25">
      <x:c r="A25" s="28"/>
      <x:c r="B25" s="28"/>
      <x:c r="C25" s="28"/>
      <x:c r="D25" s="28"/>
      <x:c r="E25" s="28"/>
    </x:row>
    <x:row r="26">
      <x:c r="A26" s="28"/>
      <x:c r="B26" s="28"/>
      <x:c r="C26" s="28"/>
      <x:c r="D26" s="28"/>
      <x:c r="E26" s="28"/>
    </x:row>
    <x:row r="27" ht="24" customHeight="1">
      <x:c r="A27" s="28" t="str">
        <x:v>Пустое поле означает: значение не установлено либо неприменимо. ID сохранять при редактировании; ссылки на источники приведены в отдельных столбцах. Полная машиночитаемая версия — database.json / knowledge.jsonl.</x:v>
      </x:c>
      <x:c r="B27" s="28"/>
      <x:c r="C27" s="28"/>
      <x:c r="D27" s="28"/>
      <x:c r="E27" s="28"/>
    </x:row>
    <x:row r="28" ht="24" customHeight="1">
      <x:c r="A28" s="28"/>
      <x:c r="B28" s="28"/>
      <x:c r="C28" s="28"/>
      <x:c r="D28" s="28"/>
      <x:c r="E28" s="28"/>
    </x:row>
    <x:row r="29" ht="24" customHeight="1">
      <x:c r="A29" s="28"/>
      <x:c r="B29" s="28"/>
      <x:c r="C29" s="28"/>
      <x:c r="D29" s="28"/>
      <x:c r="E29" s="28"/>
    </x:row>
    <x:row r="30" ht="24" customHeight="1">
      <x:c r="A30" s="28" t="str">
        <x:v>Документировано · Наблюдается · Оценено · Предложено для игры · Не установлено. Проектные метры нельзя публиковать как этнографические обмеры.</x:v>
      </x:c>
      <x:c r="B30" s="28"/>
      <x:c r="C30" s="28"/>
      <x:c r="D30" s="28"/>
      <x:c r="E30" s="28"/>
    </x:row>
    <x:row r="31" ht="24" customHeight="1">
      <x:c r="A31" s="28"/>
      <x:c r="B31" s="28"/>
      <x:c r="C31" s="28"/>
      <x:c r="D31" s="28"/>
      <x:c r="E31" s="28"/>
    </x:row>
  </x:sheetData>
  <x:mergeCells>
    <x:mergeCell ref="A1:E2"/>
    <x:mergeCell ref="A3:E3"/>
    <x:mergeCell ref="A4:E5"/>
    <x:mergeCell ref="A27:E28"/>
    <x:mergeCell ref="A30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3" hidden="0" customWidth="1"/>
    <x:col min="2" max="2" width="34" hidden="0" customWidth="1"/>
    <x:col min="3" max="3" width="40" hidden="0" customWidth="1"/>
    <x:col min="4" max="4" width="23" hidden="0" customWidth="1"/>
    <x:col min="5" max="5" width="34" hidden="0" customWidth="1"/>
    <x:col min="6" max="6" width="34" hidden="0" customWidth="1"/>
    <x:col min="7" max="7" width="40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40" hidden="0" customWidth="1"/>
    <x:col min="13" max="13" width="34" hidden="0" customWidth="1"/>
    <x:col min="14" max="14" width="34" hidden="0" customWidth="1"/>
  </x:cols>
  <x:sheetData>
    <x:row r="1" ht="42" customHeight="1">
      <x:c r="A1" s="8" t="str">
        <x:v>source_id</x:v>
      </x:c>
      <x:c r="B1" s="8" t="str">
        <x:v>author</x:v>
      </x:c>
      <x:c r="C1" s="8" t="str">
        <x:v>title</x:v>
      </x:c>
      <x:c r="D1" s="8" t="str">
        <x:v>publication_year</x:v>
      </x:c>
      <x:c r="E1" s="8" t="str">
        <x:v>type</x:v>
      </x:c>
      <x:c r="F1" s="8" t="str">
        <x:v>institution</x:v>
      </x:c>
      <x:c r="G1" s="8" t="str">
        <x:v>url</x:v>
      </x:c>
      <x:c r="H1" s="8" t="str">
        <x:v>doi_or_catalog_id</x:v>
      </x:c>
      <x:c r="I1" s="8" t="str">
        <x:v>geography</x:v>
      </x:c>
      <x:c r="J1" s="8" t="str">
        <x:v>described_period</x:v>
      </x:c>
      <x:c r="K1" s="8" t="str">
        <x:v>access_level</x:v>
      </x:c>
      <x:c r="L1" s="8" t="str">
        <x:v>actually_read</x:v>
      </x:c>
      <x:c r="M1" s="8" t="str">
        <x:v>checked_on</x:v>
      </x:c>
      <x:c r="N1" s="8" t="str">
        <x:v>limitations</x:v>
      </x:c>
    </x:row>
    <x:row r="2" ht="96" customHeight="1">
      <x:c r="A2" s="3" t="str">
        <x:v>S001</x:v>
      </x:c>
      <x:c r="B2" s="3" t="str">
        <x:v>Суслова С. В.</x:v>
      </x:c>
      <x:c r="C2" s="3" t="str">
        <x:v>Традиционная хозяйственная культура татар в трудах Н. А. Халикова (памяти ученого и коллеги)</x:v>
      </x:c>
      <x:c r="D2" s="3" t="n">
        <x:v>2021</x:v>
      </x:c>
      <x:c r="E2" s="3" t="str">
        <x:v>Историческая этнология, 6(2), 335–354</x:v>
      </x:c>
      <x:c r="F2" s="3" t="str">
        <x:v>Институт истории им. Ш. Марджани АН РТ</x:v>
      </x:c>
      <x:c r="G2" s="3" t="str">
        <x:v>https://historicalethnology.org/news/2021-t6-n2-13/</x:v>
      </x:c>
      <x:c r="H2" s="3" t="str">
        <x:v>10.22378/he.2021-6-2.335-354</x:v>
      </x:c>
      <x:c r="I2" s="3" t="str">
        <x:v>Поволжье и Урал</x:v>
      </x:c>
      <x:c r="J2" s="3" t="str">
        <x:v>XIX–XXI вв.; экспедиции 1970-х–2000-х</x:v>
      </x:c>
      <x:c r="K2" s="3" t="str">
        <x:v>Релевантные разделы полного текста</x:v>
      </x:c>
      <x:c r="L2" s="3" t="str">
        <x:v>HTML статьи; релевантные разделы PDF и библиография; просмотр изображений на печатных с. 338–339, страницы файла 4–5</x:v>
      </x:c>
      <x:c r="M2" s="3" t="str">
        <x:v>2026-09-14</x:v>
      </x:c>
      <x:c r="N2" s="3" t="str">
        <x:v>Архивные дневники, чертежи и коллекция целиком не получены. Известие о цифровке не равно доступу.</x:v>
      </x:c>
    </x:row>
    <x:row r="3" ht="96" customHeight="1">
      <x:c r="A3" s="3" t="str">
        <x:v>S002</x:v>
      </x:c>
      <x:c r="B3" s="3" t="str">
        <x:v>Суслова С. В.</x:v>
      </x:c>
      <x:c r="C3" s="3" t="str">
        <x:v>Н. И. Воробьев и его роль в формировании академического татароведения в отечественной этнологии</x:v>
      </x:c>
      <x:c r="D3" s="3" t="n">
        <x:v>2024</x:v>
      </x:c>
      <x:c r="E3" s="3" t="str">
        <x:v>Историческая этнология, 9(5), 741–758</x:v>
      </x:c>
      <x:c r="F3" s="3" t="str">
        <x:v>Институт истории им. Ш. Марджани АН РТ</x:v>
      </x:c>
      <x:c r="G3" s="3" t="str">
        <x:v>https://historicalethnology.org/news/2024-t9-n5-4/</x:v>
      </x:c>
      <x:c r="H3" s="3" t="str">
        <x:v>10.22378/he.2024-9-5.741-758</x:v>
      </x:c>
      <x:c r="I3" s="3" t="str">
        <x:v>Татарстан; Поволжье</x:v>
      </x:c>
      <x:c r="J3" s="3" t="str">
        <x:v>XX в., история исследований</x:v>
      </x:c>
      <x:c r="K3" s="3" t="str">
        <x:v>Релевантные разделы полного текста</x:v>
      </x:c>
      <x:c r="L3" s="3" t="str">
        <x:v>HTML, библиография; просмотр печатной с. 745, страница файла 5</x:v>
      </x:c>
      <x:c r="M3" s="3" t="str">
        <x:v>2026-09-14</x:v>
      </x:c>
      <x:c r="N3" s="3" t="str">
        <x:v>Экспедиционные планы 1946 г. не описывают дома 2015 г.</x:v>
      </x:c>
    </x:row>
    <x:row r="4" ht="96" customHeight="1">
      <x:c r="A4" s="3" t="str">
        <x:v>S003</x:v>
      </x:c>
      <x:c r="B4" s="3" t="str">
        <x:v>Уразманова Р. К.; Чешко С. В. (отв. ред.)</x:v>
      </x:c>
      <x:c r="C4" s="3" t="str">
        <x:v>Татары. Серия «Народы и культуры». Москва: Наука</x:v>
      </x:c>
      <x:c r="D4" s="3" t="n">
        <x:v>2001</x:v>
      </x:c>
      <x:c r="E4" s="3" t="str">
        <x:v>Коллективная монография</x:v>
      </x:c>
      <x:c r="F4" s="3" t="str"/>
      <x:c r="G4" s="3" t="str">
        <x:v>https://historicalethnology.org/news/2021-t6-n2-13/</x:v>
      </x:c>
      <x:c r="H4" s="3" t="str"/>
      <x:c r="I4" s="3" t="str">
        <x:v>Волго-Уральские татары</x:v>
      </x:c>
      <x:c r="J4" s="3" t="str">
        <x:v>Исторический обзор</x:v>
      </x:c>
      <x:c r="K4" s="3" t="str">
        <x:v>Библиография другого прочитанного источника</x:v>
      </x:c>
      <x:c r="L4" s="3" t="str">
        <x:v>Сверены сведения по S001: раздел хозяйства с. 162–194, жилища с. 214–249; книга не прочитана</x:v>
      </x:c>
      <x:c r="M4" s="3" t="str">
        <x:v>2026-09-14</x:v>
      </x:c>
      <x:c r="N4" s="3" t="str">
        <x:v>Не включена копия книги; нельзя цитировать разделы как непосредственно изученные.</x:v>
      </x:c>
    </x:row>
    <x:row r="5" ht="96" customHeight="1">
      <x:c r="A5" s="3" t="str">
        <x:v>S004</x:v>
      </x:c>
      <x:c r="B5" s="3" t="str">
        <x:v>Мухаметшин Ю. Г.; Халиков Н. А.</x:v>
      </x:c>
      <x:c r="C5" s="3" t="str">
        <x:v>Усадьба тюркских народов: сельское жилище татар Поволжья и Урала (конец XIX – начало XX вв.)</x:v>
      </x:c>
      <x:c r="D5" s="3" t="n">
        <x:v>2011</x:v>
      </x:c>
      <x:c r="E5" s="3" t="str">
        <x:v>Монография, библиографический ориентир</x:v>
      </x:c>
      <x:c r="F5" s="3" t="str"/>
      <x:c r="G5" s="3" t="str">
        <x:v>https://historicalethnology.org/news/2024-t9-n5-4/</x:v>
      </x:c>
      <x:c r="H5" s="3" t="str"/>
      <x:c r="I5" s="3" t="str">
        <x:v>Поволжье и Урал</x:v>
      </x:c>
      <x:c r="J5" s="3" t="str">
        <x:v>Конец XIX – начало XX вв.</x:v>
      </x:c>
      <x:c r="K5" s="3" t="str">
        <x:v>Библиография другого прочитанного источника</x:v>
      </x:c>
      <x:c r="L5" s="3" t="str">
        <x:v>Упоминания в S001 и S002; титульный лист и полный текст не получены</x:v>
      </x:c>
      <x:c r="M5" s="3" t="str">
        <x:v>2026-09-14</x:v>
      </x:c>
      <x:c r="N5" s="3" t="str">
        <x:v>Место издания расходится: Петропавловск / Астана. Не разрешено без титульного листа.</x:v>
      </x:c>
    </x:row>
    <x:row r="6" ht="96" customHeight="1">
      <x:c r="A6" s="3" t="str">
        <x:v>S005</x:v>
      </x:c>
      <x:c r="B6" s="3" t="str">
        <x:v>Воробьёв Н. И.</x:v>
      </x:c>
      <x:c r="C6" s="3" t="str">
        <x:v>Жилища и поселения казанских татар Арского кантона ТАССР</x:v>
      </x:c>
      <x:c r="D6" s="3" t="n">
        <x:v>1926</x:v>
      </x:c>
      <x:c r="E6" s="3" t="str">
        <x:v>Вестник научного общества татароведения, №4, 17–35; отдельный оттиск</x:v>
      </x:c>
      <x:c r="F6" s="3" t="str"/>
      <x:c r="G6" s="3" t="str">
        <x:v>https://kitaphane.tatarstan.ru/file/kitaphane/File/Воробьев_жилища.pdf</x:v>
      </x:c>
      <x:c r="H6" s="3" t="str"/>
      <x:c r="I6" s="3" t="str">
        <x:v>Исторический Арский кантон</x:v>
      </x:c>
      <x:c r="J6" s="3" t="str">
        <x:v>Начало XX в.</x:v>
      </x:c>
      <x:c r="K6" s="3" t="str">
        <x:v>Обнаружено; полный текст недоступен</x:v>
      </x:c>
      <x:c r="L6" s="3" t="str">
        <x:v>Библиография S002; ссылка Национальной библиотеки найдена, PDF не открылся</x:v>
      </x:c>
      <x:c r="M6" s="3" t="str">
        <x:v>2026-09-14</x:v>
      </x:c>
      <x:c r="N6" s="3" t="str">
        <x:v>Арский кантон не равен современному Арскому району. Размеры улиц из этой работы не извлечены.</x:v>
      </x:c>
    </x:row>
    <x:row r="7" ht="96" customHeight="1">
      <x:c r="A7" s="3" t="str">
        <x:v>S006</x:v>
      </x:c>
      <x:c r="B7" s="3" t="str">
        <x:v>Воробьёв Н. И.</x:v>
      </x:c>
      <x:c r="C7" s="3" t="str">
        <x:v>Казанские татары: этнографическое исследование материальной культуры дооктябрьского периода. Казань</x:v>
      </x:c>
      <x:c r="D7" s="3" t="n">
        <x:v>1953</x:v>
      </x:c>
      <x:c r="E7" s="3" t="str">
        <x:v>Монография</x:v>
      </x:c>
      <x:c r="F7" s="3" t="str"/>
      <x:c r="G7" s="3" t="str">
        <x:v>https://historicalethnology.org/news/2024-t9-n5-4/</x:v>
      </x:c>
      <x:c r="H7" s="3" t="str"/>
      <x:c r="I7" s="3" t="str">
        <x:v>Казанские татары</x:v>
      </x:c>
      <x:c r="J7" s="3" t="str">
        <x:v>Дореволюционный период</x:v>
      </x:c>
      <x:c r="K7" s="3" t="str">
        <x:v>Библиография другого прочитанного источника</x:v>
      </x:c>
      <x:c r="L7" s="3" t="str">
        <x:v>Сведения об издании в S002; книга не прочитана</x:v>
      </x:c>
      <x:c r="M7" s="3" t="str">
        <x:v>2026-09-14</x:v>
      </x:c>
      <x:c r="N7" s="3" t="str"/>
    </x:row>
    <x:row r="8" ht="96" customHeight="1">
      <x:c r="A8" s="3" t="str">
        <x:v>S007</x:v>
      </x:c>
      <x:c r="B8" s="3" t="str">
        <x:v>Шкляева Л. М.</x:v>
      </x:c>
      <x:c r="C8" s="3" t="str">
        <x:v>История возникновения, семантика и стилевые особенности некоторых устойчивых элементов орнамента домовой резьбы по дереву у татар Среднего Поволжья</x:v>
      </x:c>
      <x:c r="D8" s="3" t="n">
        <x:v>2018</x:v>
      </x:c>
      <x:c r="E8" s="3" t="str">
        <x:v>Tatarica, №10, 137–156</x:v>
      </x:c>
      <x:c r="F8" s="3" t="str"/>
      <x:c r="G8" s="3" t="str">
        <x:v>https://kpfu.ru/portal/docs/F_715431455/4_02.pdf</x:v>
      </x:c>
      <x:c r="H8" s="3" t="str"/>
      <x:c r="I8" s="3" t="str">
        <x:v>Среднее Поволжье</x:v>
      </x:c>
      <x:c r="J8" s="3" t="str">
        <x:v>Исторический материал</x:v>
      </x:c>
      <x:c r="K8" s="3" t="str">
        <x:v>Релевантные разделы полного текста</x:v>
      </x:c>
      <x:c r="L8" s="3" t="str">
        <x:v>Русская часть, с. 148–154; заключение и библиография; просмотр страниц файла 18–20, печатных 154–156</x:v>
      </x:c>
      <x:c r="M8" s="3" t="str">
        <x:v>2026-09-14</x:v>
      </x:c>
      <x:c r="N8" s="3" t="str">
        <x:v>Отдельное иллюстративное приложение не получено. Гипотезы происхождения орнамента не считать доказанными значениями каждого узора.</x:v>
      </x:c>
    </x:row>
    <x:row r="9" ht="96" customHeight="1">
      <x:c r="A9" s="3" t="str">
        <x:v>S008</x:v>
      </x:c>
      <x:c r="B9" s="3" t="str">
        <x:v>Сулейманова Диляра Наилевна</x:v>
      </x:c>
      <x:c r="C9" s="3" t="str">
        <x:v>Интерьер жилища волго-уральских татар: развитие и этнокультурная специфика. Автореферат кандидатской диссертации. Чебоксары</x:v>
      </x:c>
      <x:c r="D9" s="3" t="n">
        <x:v>2007</x:v>
      </x:c>
      <x:c r="E9" s="3" t="str">
        <x:v>Автореферат, исторические науки, 07.00.07</x:v>
      </x:c>
      <x:c r="F9" s="3" t="str"/>
      <x:c r="G9" s="3" t="str">
        <x:v>https://cheloveknauka.com/interier-zhilischa-volgo-uralskih-tatar-razvitie-i-etnokulturnaya-spetsifika</x:v>
      </x:c>
      <x:c r="H9" s="3" t="str"/>
      <x:c r="I9" s="3" t="str">
        <x:v>Поволжье и Урал; полевые материалы Татарстана и Самарской области</x:v>
      </x:c>
      <x:c r="J9" s="3" t="str">
        <x:v>XVIII–XX вв.; отдельные наблюдения начала XXI в.</x:v>
      </x:c>
      <x:c r="K9" s="3" t="str">
        <x:v>Автореферат в воспроизведении агрегатора</x:v>
      </x:c>
      <x:c r="L9" s="3" t="str">
        <x:v>Прочитаны введение, структура, положения и заключение воспроизведенного автореферата; не полная диссертация</x:v>
      </x:c>
      <x:c r="M9" s="3" t="str">
        <x:v>2026-09-14</x:v>
      </x:c>
      <x:c r="N9" s="3" t="str">
        <x:v>Чебоксары подтверждаются библиографией S002; заголовочные метаданные агрегатора не заменяют титульный лист.</x:v>
      </x:c>
    </x:row>
    <x:row r="10" ht="96" customHeight="1">
      <x:c r="A10" s="3" t="str">
        <x:v>S009</x:v>
      </x:c>
      <x:c r="B10" s="3" t="str">
        <x:v>Султанова Р. Р.; Шкляева Л. М.</x:v>
      </x:c>
      <x:c r="C10" s="3" t="str">
        <x:v>Художественный текстиль в интерьере татарского дома. ИЯЛИ</x:v>
      </x:c>
      <x:c r="D10" s="3" t="n">
        <x:v>2022</x:v>
      </x:c>
      <x:c r="E10" s="3" t="str">
        <x:v>Монография, каталожная запись</x:v>
      </x:c>
      <x:c r="F10" s="3" t="str"/>
      <x:c r="G10" s="3" t="str">
        <x:v>https://books.google.com/books?id=r6wB0QEACAAJ</x:v>
      </x:c>
      <x:c r="H10" s="3" t="str">
        <x:v>ISBN 9785930914610</x:v>
      </x:c>
      <x:c r="I10" s="3" t="str">
        <x:v>Татарский дом</x:v>
      </x:c>
      <x:c r="J10" s="3" t="str">
        <x:v>Исторические и современные материалы: содержание не изучено</x:v>
      </x:c>
      <x:c r="K10" s="3" t="str">
        <x:v>Каталог</x:v>
      </x:c>
      <x:c r="L10" s="3" t="str">
        <x:v>Сверено название, авторы, год, ISBN; полный текст и приложения не получены</x:v>
      </x:c>
      <x:c r="M10" s="3" t="str">
        <x:v>2026-09-14</x:v>
      </x:c>
      <x:c r="N10" s="3" t="str">
        <x:v>Каталоги дают 130/132 с.; расхождение пагинации не разрешено. Не источник размеров тканей в этом пакете.</x:v>
      </x:c>
    </x:row>
    <x:row r="11" ht="96" customHeight="1">
      <x:c r="A11" s="3" t="str">
        <x:v>S010</x:v>
      </x:c>
      <x:c r="B11" s="3" t="str">
        <x:v>Валеева-Сулейманова Г. Ф.</x:v>
      </x:c>
      <x:c r="C11" s="3" t="str">
        <x:v>Ихата. Альметьевская энциклопедия</x:v>
      </x:c>
      <x:c r="D11" s="3" t="str"/>
      <x:c r="E11" s="3" t="str">
        <x:v>Локальная энциклопедическая статья</x:v>
      </x:c>
      <x:c r="F11" s="3" t="str"/>
      <x:c r="G11" s="3" t="str">
        <x:v>https://almet-history.tatneft.ru/istoriya/traditsionnaya-kultura/remesla-i-narodnoe-iskusstvo/d-k/ihata?lang=ru</x:v>
      </x:c>
      <x:c r="H11" s="3" t="str"/>
      <x:c r="I11" s="3" t="str">
        <x:v>Альметьевский регион</x:v>
      </x:c>
      <x:c r="J11" s="3" t="str">
        <x:v>Историческое жилище; изменения середины XX в.</x:v>
      </x:c>
      <x:c r="K11" s="3" t="str">
        <x:v>Полный текст</x:v>
      </x:c>
      <x:c r="L11" s="3" t="str">
        <x:v>Прочитана статья целиком</x:v>
      </x:c>
      <x:c r="M11" s="3" t="str">
        <x:v>2026-09-14</x:v>
      </x:c>
      <x:c r="N11" s="3" t="str">
        <x:v>Датировку палисадников и местные каменные постройки нельзя переносить на весь Татарстан.</x:v>
      </x:c>
    </x:row>
    <x:row r="12" ht="96" customHeight="1">
      <x:c r="A12" s="3" t="str">
        <x:v>S011</x:v>
      </x:c>
      <x:c r="B12" s="3" t="str">
        <x:v>Халиков Н. А.</x:v>
      </x:c>
      <x:c r="C12" s="3" t="str">
        <x:v>Жилище народное. Альметьевская энциклопедия</x:v>
      </x:c>
      <x:c r="D12" s="3" t="str"/>
      <x:c r="E12" s="3" t="str">
        <x:v>Локальная энциклопедическая статья</x:v>
      </x:c>
      <x:c r="F12" s="3" t="str"/>
      <x:c r="G12" s="3" t="str">
        <x:v>https://almet-history.tatneft.ru/istoriya/traditsionnaya-kultura/remesla-i-narodnoe-iskusstvo/d-k/zhilishche-narodnoe?lang=ru</x:v>
      </x:c>
      <x:c r="H12" s="3" t="str"/>
      <x:c r="I12" s="3" t="str">
        <x:v>Альметьевский регион</x:v>
      </x:c>
      <x:c r="J12" s="3" t="str">
        <x:v>XIX–XX вв.</x:v>
      </x:c>
      <x:c r="K12" s="3" t="str">
        <x:v>Полный текст</x:v>
      </x:c>
      <x:c r="L12" s="3" t="str">
        <x:v>Прочитана статья целиком</x:v>
      </x:c>
      <x:c r="M12" s="3" t="str">
        <x:v>2026-09-14</x:v>
      </x:c>
      <x:c r="N12" s="3" t="str">
        <x:v>Типы исторических домов не являются статистикой действующего жилого фонда 2015 г.</x:v>
      </x:c>
    </x:row>
    <x:row r="13" ht="96" customHeight="1">
      <x:c r="A13" s="3" t="str">
        <x:v>S012</x:v>
      </x:c>
      <x:c r="B13" s="3" t="str"/>
      <x:c r="C13" s="3" t="str">
        <x:v>Интерьер. Альметьевская энциклопедия</x:v>
      </x:c>
      <x:c r="D13" s="3" t="str"/>
      <x:c r="E13" s="3" t="str">
        <x:v>Локальная энциклопедическая статья</x:v>
      </x:c>
      <x:c r="F13" s="3" t="str"/>
      <x:c r="G13" s="3" t="str">
        <x:v>https://almet-history.tatneft.ru/istoriya/traditsionnaya-kultura/remesla-i-narodnoe-iskusstvo/d-k/interer?lang=ru</x:v>
      </x:c>
      <x:c r="H13" s="3" t="str"/>
      <x:c r="I13" s="3" t="str">
        <x:v>Альметьевский регион; конкретные локальные примеры</x:v>
      </x:c>
      <x:c r="J13" s="3" t="str">
        <x:v>Исторические интерьеры, изменения до середины XX в.</x:v>
      </x:c>
      <x:c r="K13" s="3" t="str">
        <x:v>Полный текст</x:v>
      </x:c>
      <x:c r="L13" s="3" t="str">
        <x:v>Прочитана статья целиком</x:v>
      </x:c>
      <x:c r="M13" s="3" t="str">
        <x:v>2026-09-14</x:v>
      </x:c>
      <x:c r="N13" s="3" t="str">
        <x:v>Сәке, чаршау, түрләмә и комнатные растения описаны в локальном историческом контексте.</x:v>
      </x:c>
    </x:row>
    <x:row r="14" ht="96" customHeight="1">
      <x:c r="A14" s="3" t="str">
        <x:v>S013</x:v>
      </x:c>
      <x:c r="B14" s="3" t="str">
        <x:v>Ханипова И. И.</x:v>
      </x:c>
      <x:c r="C14" s="3" t="str">
        <x:v>Визуальные источники о новой советской обрядности в татарской деревне 1970-х годов</x:v>
      </x:c>
      <x:c r="D14" s="3" t="n">
        <x:v>2024</x:v>
      </x:c>
      <x:c r="E14" s="3" t="str">
        <x:v>Историческая этнология, 9(2), 184–200</x:v>
      </x:c>
      <x:c r="F14" s="3" t="str">
        <x:v>Институт истории им. Ш. Марджани АН РТ</x:v>
      </x:c>
      <x:c r="G14" s="3" t="str">
        <x:v>https://historicalethnology.org/news/2024-t9-n2-4/</x:v>
      </x:c>
      <x:c r="H14" s="3" t="str">
        <x:v>10.22378/he.2024-9-2.184-200</x:v>
      </x:c>
      <x:c r="I14" s="3" t="str">
        <x:v>Татарская АССР: в частности Сикертан, Каркали; интервью в нескольких районах</x:v>
      </x:c>
      <x:c r="J14" s="3" t="str">
        <x:v>События 1960–1970-х; интервью 2020, 2022, 2024</x:v>
      </x:c>
      <x:c r="K14" s="3" t="str">
        <x:v>Релевантные разделы полного текста</x:v>
      </x:c>
      <x:c r="L14" s="3" t="str">
        <x:v>HTML; PDF с. 188–196 и описание семейных архивов; непосредственно просмотрена с. 189, страница файла 6</x:v>
      </x:c>
      <x:c r="M14" s="3" t="str">
        <x:v>2026-09-14</x:v>
      </x:c>
      <x:c r="N14" s="3" t="str">
        <x:v>Свадебные фотографии не являются выборкой будничной одежды. Рассказ об одном доме не статистика достатка.</x:v>
      </x:c>
    </x:row>
    <x:row r="15" ht="96" customHeight="1">
      <x:c r="A15" s="3" t="str">
        <x:v>S014</x:v>
      </x:c>
      <x:c r="B15" s="3" t="str">
        <x:v>Сагдиева Эльвина Азадовна</x:v>
      </x:c>
      <x:c r="C15" s="3" t="str">
        <x:v>Что удалось сделать в сельском Татарстане за десять лет реализации системы самообложения населения</x:v>
      </x:c>
      <x:c r="D15" s="3" t="n">
        <x:v>2024</x:v>
      </x:c>
      <x:c r="E15" s="3" t="str">
        <x:v>Историческая этнология, 9(2), 262–275</x:v>
      </x:c>
      <x:c r="F15" s="3" t="str">
        <x:v>Институт истории им. Ш. Марджани АН РТ</x:v>
      </x:c>
      <x:c r="G15" s="3" t="str">
        <x:v>https://historicalethnology.org/news/2024-t9-n2-10/</x:v>
      </x:c>
      <x:c r="H15" s="3" t="str">
        <x:v>10.22378/he.2024-9-2.262-275</x:v>
      </x:c>
      <x:c r="I15" s="3" t="str">
        <x:v>Пять муниципальных образований Татарстана</x:v>
      </x:c>
      <x:c r="J15" s="3" t="str">
        <x:v>2013–2023; 16 интервью в 2023 г.</x:v>
      </x:c>
      <x:c r="K15" s="3" t="str">
        <x:v>Релевантные разделы полного текста</x:v>
      </x:c>
      <x:c r="L15" s="3" t="str">
        <x:v>HTML; PDF с. 264–269; непосредственно просмотрена с. 268, страница файла 7</x:v>
      </x:c>
      <x:c r="M15" s="3" t="str">
        <x:v>2026-09-14</x:v>
      </x:c>
      <x:c r="N15" s="3" t="str">
        <x:v>Не устанавливает год ремонта конкретной улицы Кырлая; интервью преимущественно управленцев и активистов.</x:v>
      </x:c>
    </x:row>
    <x:row r="16" ht="96" customHeight="1">
      <x:c r="A16" s="3" t="str">
        <x:v>S015</x:v>
      </x:c>
      <x:c r="B16" s="3" t="str">
        <x:v>Институт татарской энциклопедии и регионоведения АН РТ</x:v>
      </x:c>
      <x:c r="C16" s="3" t="str">
        <x:v>Новый Кырлай. TATARICA</x:v>
      </x:c>
      <x:c r="D16" s="3" t="str"/>
      <x:c r="E16" s="3" t="str">
        <x:v>Энциклопедия населенных пунктов</x:v>
      </x:c>
      <x:c r="F16" s="3" t="str"/>
      <x:c r="G16" s="3" t="str">
        <x:v>https://tatarica.org/ru/razdely/municipalnye-obrazovaniya/municipalnye-rajony/arskij-rajon/novyj-kyrlaj</x:v>
      </x:c>
      <x:c r="H16" s="3" t="str"/>
      <x:c r="I16" s="3" t="str">
        <x:v>Арский район</x:v>
      </x:c>
      <x:c r="J16" s="3" t="str">
        <x:v>История; датированные показатели 2000–2017 и недатированный текущий текст</x:v>
      </x:c>
      <x:c r="K16" s="3" t="str">
        <x:v>Полный текст</x:v>
      </x:c>
      <x:c r="L16" s="3" t="str">
        <x:v>Полный текст; разделы хозяйства, инфраструктуры, музеев, населения и подписи фотографий</x:v>
      </x:c>
      <x:c r="M16" s="3" t="str">
        <x:v>2026-09-14</x:v>
      </x:c>
      <x:c r="N16" s="3" t="str">
        <x:v>Год доступа 2026 не означает, что все показатели обновлены на 2026 г. Фотографии на странице имеют отдельные даты.</x:v>
      </x:c>
    </x:row>
    <x:row r="17" ht="96" customHeight="1">
      <x:c r="A17" s="3" t="str">
        <x:v>S016</x:v>
      </x:c>
      <x:c r="B17" s="3" t="str">
        <x:v>TATARICA</x:v>
      </x:c>
      <x:c r="C17" s="3" t="str">
        <x:v>Ия</x:v>
      </x:c>
      <x:c r="D17" s="3" t="str"/>
      <x:c r="E17" s="3" t="str">
        <x:v>Гидрографическая статья</x:v>
      </x:c>
      <x:c r="F17" s="3" t="str"/>
      <x:c r="G17" s="3" t="str">
        <x:v>https://tatarica.org/ru/razdely/priroda/gidrograficheskaya-set/reki/iya</x:v>
      </x:c>
      <x:c r="H17" s="3" t="str"/>
      <x:c r="I17" s="3" t="str">
        <x:v>Бассейн Ии, Арский район</x:v>
      </x:c>
      <x:c r="J17" s="3" t="str">
        <x:v>Недатированное природное описание</x:v>
      </x:c>
      <x:c r="K17" s="3" t="str">
        <x:v>Полный текст</x:v>
      </x:c>
      <x:c r="L17" s="3" t="str">
        <x:v>Прочитан текст о бассейне, питании, половодье и лесистости</x:v>
      </x:c>
      <x:c r="M17" s="3" t="str">
        <x:v>2026-09-14</x:v>
      </x:c>
      <x:c r="N17" s="3" t="str">
        <x:v>Гидрологические показатели бассейна не дают ширину ручья около конкретного двора.</x:v>
      </x:c>
    </x:row>
    <x:row r="18" ht="96" customHeight="1">
      <x:c r="A18" s="3" t="str">
        <x:v>S017</x:v>
      </x:c>
      <x:c r="B18" s="3" t="str">
        <x:v>TATARICA</x:v>
      </x:c>
      <x:c r="C18" s="3" t="str">
        <x:v>Арский район</x:v>
      </x:c>
      <x:c r="D18" s="3" t="str"/>
      <x:c r="E18" s="3" t="str">
        <x:v>Региональная энциклопедическая статья</x:v>
      </x:c>
      <x:c r="F18" s="3" t="str"/>
      <x:c r="G18" s="3" t="str">
        <x:v>https://tatarica.org/ru/razdely/municipalnye-obrazovaniya/municipalnye-rajony/arskij-rajon/arskij-rajon-1</x:v>
      </x:c>
      <x:c r="H18" s="3" t="str"/>
      <x:c r="I18" s="3" t="str">
        <x:v>Современный Арский район</x:v>
      </x:c>
      <x:c r="J18" s="3" t="str">
        <x:v>Природа; историческое административное деление</x:v>
      </x:c>
      <x:c r="K18" s="3" t="str">
        <x:v>Релевантные разделы полного текста</x:v>
      </x:c>
      <x:c r="L18" s="3" t="str">
        <x:v>Рельеф, леса, почвы, птицы; сведения об Арском кантоне</x:v>
      </x:c>
      <x:c r="M18" s="3" t="str">
        <x:v>2026-09-14</x:v>
      </x:c>
      <x:c r="N18" s="3" t="str">
        <x:v>Районная флора и фауна не подтверждают наличие каждого вида в выбранном лесном квартале.</x:v>
      </x:c>
    </x:row>
    <x:row r="19" ht="96" customHeight="1">
      <x:c r="A19" s="3" t="str">
        <x:v>S018</x:v>
      </x:c>
      <x:c r="B19" s="3" t="str">
        <x:v>Институт татарской энциклопедии и регионоведения АН РТ</x:v>
      </x:c>
      <x:c r="C19" s="3" t="str">
        <x:v>Старый Кырлай. TATARICA</x:v>
      </x:c>
      <x:c r="D19" s="3" t="str"/>
      <x:c r="E19" s="3" t="str">
        <x:v>Энциклопедия населенных пунктов</x:v>
      </x:c>
      <x:c r="F19" s="3" t="str"/>
      <x:c r="G19" s="3" t="str">
        <x:v>https://tatarica.org/ru/razdely/municipalnye-obrazovaniya/municipalnye-rajony/arskij-rajon/staryj-kyrlaj</x:v>
      </x:c>
      <x:c r="H19" s="3" t="str"/>
      <x:c r="I19" s="3" t="str">
        <x:v>Арский район</x:v>
      </x:c>
      <x:c r="J19" s="3" t="str">
        <x:v>История; датированные показатели 2000–2017 и недатированный текущий текст</x:v>
      </x:c>
      <x:c r="K19" s="3" t="str">
        <x:v>Полный текст</x:v>
      </x:c>
      <x:c r="L19" s="3" t="str">
        <x:v>Полный текст; хозяйство, учреждения, фотоподписи</x:v>
      </x:c>
      <x:c r="M19" s="3" t="str">
        <x:v>2026-09-14</x:v>
      </x:c>
      <x:c r="N19" s="3" t="str">
        <x:v>Год доступа 2026 не означает, что все показатели обновлены на 2026 г. Фотографии на странице имеют отдельные даты.</x:v>
      </x:c>
    </x:row>
    <x:row r="20" ht="96" customHeight="1">
      <x:c r="A20" s="3" t="str">
        <x:v>S019</x:v>
      </x:c>
      <x:c r="B20" s="3" t="str">
        <x:v>Институт татарской энциклопедии и регионоведения АН РТ</x:v>
      </x:c>
      <x:c r="C20" s="3" t="str">
        <x:v>Кошлауч. TATARICA</x:v>
      </x:c>
      <x:c r="D20" s="3" t="str"/>
      <x:c r="E20" s="3" t="str">
        <x:v>Энциклопедия населенных пунктов</x:v>
      </x:c>
      <x:c r="F20" s="3" t="str"/>
      <x:c r="G20" s="3" t="str">
        <x:v>https://tatarica.org/ru/razdely/municipalnye-obrazovaniya/municipalnye-rajony/arskij-rajon/koshlauch</x:v>
      </x:c>
      <x:c r="H20" s="3" t="str"/>
      <x:c r="I20" s="3" t="str">
        <x:v>Арский район</x:v>
      </x:c>
      <x:c r="J20" s="3" t="str">
        <x:v>История; датированные показатели 2000–2017 и недатированный текущий текст</x:v>
      </x:c>
      <x:c r="K20" s="3" t="str">
        <x:v>Полный текст</x:v>
      </x:c>
      <x:c r="L20" s="3" t="str">
        <x:v>Полный текст; география, музей, хозяйство, фотоподписи</x:v>
      </x:c>
      <x:c r="M20" s="3" t="str">
        <x:v>2026-09-14</x:v>
      </x:c>
      <x:c r="N20" s="3" t="str">
        <x:v>Год доступа 2026 не означает, что все показатели обновлены на 2026 г. Фотографии на странице имеют отдельные даты.</x:v>
      </x:c>
    </x:row>
    <x:row r="21" ht="96" customHeight="1">
      <x:c r="A21" s="3" t="str">
        <x:v>S020</x:v>
      </x:c>
      <x:c r="B21" s="3" t="str">
        <x:v>Институт татарской энциклопедии и регионоведения АН РТ</x:v>
      </x:c>
      <x:c r="C21" s="3" t="str">
        <x:v>Большая Атня. TATARICA</x:v>
      </x:c>
      <x:c r="D21" s="3" t="str"/>
      <x:c r="E21" s="3" t="str">
        <x:v>Энциклопедия населенных пунктов</x:v>
      </x:c>
      <x:c r="F21" s="3" t="str"/>
      <x:c r="G21" s="3" t="str">
        <x:v>https://tatarica.org/ru/razdely/municipalnye-obrazovaniya/municipalnye-rajony/atninskij/bolshaya-atnya</x:v>
      </x:c>
      <x:c r="H21" s="3" t="str"/>
      <x:c r="I21" s="3" t="str">
        <x:v>Атнинский район</x:v>
      </x:c>
      <x:c r="J21" s="3" t="str">
        <x:v>История; датированные показатели 2000–2017 и недатированный текущий текст</x:v>
      </x:c>
      <x:c r="K21" s="3" t="str">
        <x:v>Релевантные разделы полного текста</x:v>
      </x:c>
      <x:c r="L21" s="3" t="str">
        <x:v>Релевантные разделы: положение и история поселения; не все сведения о современных учреждениях</x:v>
      </x:c>
      <x:c r="M21" s="3" t="str">
        <x:v>2026-09-14</x:v>
      </x:c>
      <x:c r="N21" s="3" t="str">
        <x:v>Год доступа 2026 не означает, что все показатели обновлены на 2026 г. Фотографии на странице имеют отдельные даты.</x:v>
      </x:c>
    </x:row>
    <x:row r="22" ht="96" customHeight="1">
      <x:c r="A22" s="3" t="str">
        <x:v>S021</x:v>
      </x:c>
      <x:c r="B22" s="3" t="str">
        <x:v>Институт татарской энциклопедии и регионоведения АН РТ</x:v>
      </x:c>
      <x:c r="C22" s="3" t="str">
        <x:v>Большой Менгер. TATARICA</x:v>
      </x:c>
      <x:c r="D22" s="3" t="str"/>
      <x:c r="E22" s="3" t="str">
        <x:v>Энциклопедия населенных пунктов</x:v>
      </x:c>
      <x:c r="F22" s="3" t="str"/>
      <x:c r="G22" s="3" t="str">
        <x:v>https://tatarica.org/ru/razdely/municipalnye-obrazovaniya/municipalnye-rajony/atninskij/bolshoj-menger</x:v>
      </x:c>
      <x:c r="H22" s="3" t="str"/>
      <x:c r="I22" s="3" t="str">
        <x:v>Атнинский район</x:v>
      </x:c>
      <x:c r="J22" s="3" t="str">
        <x:v>История; датированные показатели 2000–2017 и недатированный текущий текст</x:v>
      </x:c>
      <x:c r="K22" s="3" t="str">
        <x:v>Полный текст</x:v>
      </x:c>
      <x:c r="L22" s="3" t="str">
        <x:v>Полный текст; река, хозяйство, дом Бакирова</x:v>
      </x:c>
      <x:c r="M22" s="3" t="str">
        <x:v>2026-09-14</x:v>
      </x:c>
      <x:c r="N22" s="3" t="str">
        <x:v>Год доступа 2026 не означает, что все показатели обновлены на 2026 г. Фотографии на странице имеют отдельные даты.</x:v>
      </x:c>
    </x:row>
    <x:row r="23" ht="96" customHeight="1">
      <x:c r="A23" s="3" t="str">
        <x:v>S022</x:v>
      </x:c>
      <x:c r="B23" s="3" t="str">
        <x:v>Институт татарской энциклопедии и регионоведения АН РТ</x:v>
      </x:c>
      <x:c r="C23" s="3" t="str">
        <x:v>Старый Менгер. TATARICA</x:v>
      </x:c>
      <x:c r="D23" s="3" t="str"/>
      <x:c r="E23" s="3" t="str">
        <x:v>Энциклопедия населенных пунктов</x:v>
      </x:c>
      <x:c r="F23" s="3" t="str"/>
      <x:c r="G23" s="3" t="str">
        <x:v>https://tatarica.org/ru/razdely/municipalnye-obrazovaniya/municipalnye-rajony/atninskij/staryj-menger</x:v>
      </x:c>
      <x:c r="H23" s="3" t="str"/>
      <x:c r="I23" s="3" t="str">
        <x:v>Атнинский район</x:v>
      </x:c>
      <x:c r="J23" s="3" t="str">
        <x:v>История; датированные показатели 2000–2017 и недатированный текущий текст</x:v>
      </x:c>
      <x:c r="K23" s="3" t="str">
        <x:v>Полный текст</x:v>
      </x:c>
      <x:c r="L23" s="3" t="str">
        <x:v>Полный текст; школа, мечеть, население</x:v>
      </x:c>
      <x:c r="M23" s="3" t="str">
        <x:v>2026-09-14</x:v>
      </x:c>
      <x:c r="N23" s="3" t="str">
        <x:v>Год доступа 2026 не означает, что все показатели обновлены на 2026 г. Фотографии на странице имеют отдельные даты.</x:v>
      </x:c>
    </x:row>
    <x:row r="24" ht="96" customHeight="1">
      <x:c r="A24" s="3" t="str">
        <x:v>S023</x:v>
      </x:c>
      <x:c r="B24" s="3" t="str">
        <x:v>Институт татарской энциклопедии и регионоведения АН РТ</x:v>
      </x:c>
      <x:c r="C24" s="3" t="str">
        <x:v>Тюнтер. TATARICA</x:v>
      </x:c>
      <x:c r="D24" s="3" t="str"/>
      <x:c r="E24" s="3" t="str">
        <x:v>Энциклопедия населенных пунктов</x:v>
      </x:c>
      <x:c r="F24" s="3" t="str"/>
      <x:c r="G24" s="3" t="str">
        <x:v>https://tatarica.org/ru/razdely/municipalnye-obrazovaniya/municipalnye-rajony/baltasinskij-rajon/tyunter</x:v>
      </x:c>
      <x:c r="H24" s="3" t="str"/>
      <x:c r="I24" s="3" t="str">
        <x:v>Балтасинский район</x:v>
      </x:c>
      <x:c r="J24" s="3" t="str">
        <x:v>История; датированные показатели 2000–2017 и недатированный текущий текст</x:v>
      </x:c>
      <x:c r="K24" s="3" t="str">
        <x:v>Релевантные разделы полного текста</x:v>
      </x:c>
      <x:c r="L24" s="3" t="str">
        <x:v>Релевантные разделы: положение, история поселения и медресе</x:v>
      </x:c>
      <x:c r="M24" s="3" t="str">
        <x:v>2026-09-14</x:v>
      </x:c>
      <x:c r="N24" s="3" t="str">
        <x:v>Год доступа 2026 не означает, что все показатели обновлены на 2026 г. Фотографии на странице имеют отдельные даты.</x:v>
      </x:c>
    </x:row>
    <x:row r="25" ht="96" customHeight="1">
      <x:c r="A25" s="3" t="str">
        <x:v>S024</x:v>
      </x:c>
      <x:c r="B25" s="3" t="str">
        <x:v>Институт татарской энциклопедии и регионоведения АН РТ</x:v>
      </x:c>
      <x:c r="C25" s="3" t="str">
        <x:v>Туембаш. TATARICA</x:v>
      </x:c>
      <x:c r="D25" s="3" t="str"/>
      <x:c r="E25" s="3" t="str">
        <x:v>Энциклопедия населенных пунктов</x:v>
      </x:c>
      <x:c r="F25" s="3" t="str"/>
      <x:c r="G25" s="3" t="str">
        <x:v>https://tatarica.org/ru/razdely/municipalnye-obrazovaniya/municipalnye-rajony/kukmorskij-rajon-1/tuembash</x:v>
      </x:c>
      <x:c r="H25" s="3" t="str"/>
      <x:c r="I25" s="3" t="str">
        <x:v>Кукморский район</x:v>
      </x:c>
      <x:c r="J25" s="3" t="str">
        <x:v>История; датированные показатели 2000–2017 и недатированный текущий текст</x:v>
      </x:c>
      <x:c r="K25" s="3" t="str">
        <x:v>Полный текст</x:v>
      </x:c>
      <x:c r="L25" s="3" t="str">
        <x:v>Полный текст; учреждения, хозяйство, даты новых зданий, население</x:v>
      </x:c>
      <x:c r="M25" s="3" t="str">
        <x:v>2026-09-14</x:v>
      </x:c>
      <x:c r="N25" s="3" t="str">
        <x:v>Год доступа 2026 не означает, что все показатели обновлены на 2026 г. Фотографии на странице имеют отдельные даты.</x:v>
      </x:c>
    </x:row>
    <x:row r="26" ht="96" customHeight="1">
      <x:c r="A26" s="3" t="str">
        <x:v>S025</x:v>
      </x:c>
      <x:c r="B26" s="3" t="str">
        <x:v>Институт татарской энциклопедии и регионоведения АН РТ</x:v>
      </x:c>
      <x:c r="C26" s="3" t="str">
        <x:v>Верхний Кумор. TATARICA</x:v>
      </x:c>
      <x:c r="D26" s="3" t="str"/>
      <x:c r="E26" s="3" t="str">
        <x:v>Энциклопедия населенных пунктов</x:v>
      </x:c>
      <x:c r="F26" s="3" t="str"/>
      <x:c r="G26" s="3" t="str">
        <x:v>https://tatarica.org/ru/razdely/municipalnye-obrazovaniya/municipalnye-rajony/kukmorskij-rajon-1/verhnij-kumor</x:v>
      </x:c>
      <x:c r="H26" s="3" t="str"/>
      <x:c r="I26" s="3" t="str">
        <x:v>Кукморский район</x:v>
      </x:c>
      <x:c r="J26" s="3" t="str">
        <x:v>История; датированные показатели 2000–2017 и недатированный текущий текст</x:v>
      </x:c>
      <x:c r="K26" s="3" t="str">
        <x:v>Полный текст</x:v>
      </x:c>
      <x:c r="L26" s="3" t="str">
        <x:v>Полный текст; положение и прямое указание этнического состава</x:v>
      </x:c>
      <x:c r="M26" s="3" t="str">
        <x:v>2026-09-14</x:v>
      </x:c>
      <x:c r="N26" s="3" t="str">
        <x:v>Год доступа 2026 не означает, что все показатели обновлены на 2026 г. Фотографии на странице имеют отдельные даты.</x:v>
      </x:c>
    </x:row>
    <x:row r="27" ht="96" customHeight="1">
      <x:c r="A27" s="3" t="str">
        <x:v>S026</x:v>
      </x:c>
      <x:c r="B27" s="3" t="str">
        <x:v>Институт татарской энциклопедии и регионоведения АН РТ</x:v>
      </x:c>
      <x:c r="C27" s="3" t="str">
        <x:v>Кичучатово. TATARICA</x:v>
      </x:c>
      <x:c r="D27" s="3" t="str"/>
      <x:c r="E27" s="3" t="str">
        <x:v>Энциклопедия населенных пунктов</x:v>
      </x:c>
      <x:c r="F27" s="3" t="str"/>
      <x:c r="G27" s="3" t="str">
        <x:v>https://tatarica.org/ru/razdely/municipalnye-obrazovaniya/municipalnye-rajony/almetevskij-rajon/kichuchatovo</x:v>
      </x:c>
      <x:c r="H27" s="3" t="str"/>
      <x:c r="I27" s="3" t="str">
        <x:v>Альметьевский район</x:v>
      </x:c>
      <x:c r="J27" s="3" t="str">
        <x:v>История; датированные показатели 2000–2017 и недатированный текущий текст</x:v>
      </x:c>
      <x:c r="K27" s="3" t="str">
        <x:v>Релевантные разделы полного текста</x:v>
      </x:c>
      <x:c r="L27" s="3" t="str">
        <x:v>Релевантные разделы: география, хозяйство, учреждения</x:v>
      </x:c>
      <x:c r="M27" s="3" t="str">
        <x:v>2026-09-14</x:v>
      </x:c>
      <x:c r="N27" s="3" t="str">
        <x:v>Год доступа 2026 не означает, что все показатели обновлены на 2026 г. Фотографии на странице имеют отдельные даты.</x:v>
      </x:c>
    </x:row>
    <x:row r="28" ht="96" customHeight="1">
      <x:c r="A28" s="3" t="str">
        <x:v>S027</x:v>
      </x:c>
      <x:c r="B28" s="3" t="str">
        <x:v>TATARICA</x:v>
      </x:c>
      <x:c r="C28" s="3" t="str">
        <x:v>Сабинское лесничество</x:v>
      </x:c>
      <x:c r="D28" s="3" t="str"/>
      <x:c r="E28" s="3" t="str">
        <x:v>Региональная природно-хозяйственная статья</x:v>
      </x:c>
      <x:c r="F28" s="3" t="str"/>
      <x:c r="G28" s="3" t="str">
        <x:v>https://tatarica.org/ru/razdely/priroda/poleznye-iskopaemye/sabinskoe-lesnichestvo</x:v>
      </x:c>
      <x:c r="H28" s="3" t="str"/>
      <x:c r="I28" s="3" t="str">
        <x:v>Лесничество на территории восьми районов Татарстана</x:v>
      </x:c>
      <x:c r="J28" s="3" t="str">
        <x:v>История XX–XXI вв.; дендрарий 2002, центр 2011</x:v>
      </x:c>
      <x:c r="K28" s="3" t="str">
        <x:v>Полный текст</x:v>
      </x:c>
      <x:c r="L28" s="3" t="str">
        <x:v>Прочитана статья целиком</x:v>
      </x:c>
      <x:c r="M28" s="3" t="str">
        <x:v>2026-09-14</x:v>
      </x:c>
      <x:c r="N28" s="3" t="str">
        <x:v>Площадь управления не равна одному району. Интродуценты дендрария не состав естественного леса.</x:v>
      </x:c>
    </x:row>
    <x:row r="29" ht="96" customHeight="1">
      <x:c r="A29" s="3" t="str">
        <x:v>S028</x:v>
      </x:c>
      <x:c r="B29" s="3" t="str">
        <x:v>Администрация Сабинского района</x:v>
      </x:c>
      <x:c r="C29" s="3" t="str">
        <x:v>Паспорт поселения: направление Лесхоз</x:v>
      </x:c>
      <x:c r="D29" s="3" t="str"/>
      <x:c r="E29" s="3" t="str">
        <x:v>Муниципальный документ</x:v>
      </x:c>
      <x:c r="F29" s="3" t="str"/>
      <x:c r="G29" s="3" t="str">
        <x:v>https://saby.tatarstan.ru/pasport-poseleniya-458902.htm</x:v>
      </x:c>
      <x:c r="H29" s="3" t="str"/>
      <x:c r="I29" s="3" t="str">
        <x:v>Сабинский район, Лесхоз</x:v>
      </x:c>
      <x:c r="J29" s="3" t="str">
        <x:v>Не установлено</x:v>
      </x:c>
      <x:c r="K29" s="3" t="str">
        <x:v>Обнаружено; страница недоступна</x:v>
      </x:c>
      <x:c r="L29" s="3" t="str">
        <x:v>Только поисковая карточка; сам паспорт не прочитан</x:v>
      </x:c>
      <x:c r="M29" s="3" t="str">
        <x:v>2026-09-14</x:v>
      </x:c>
      <x:c r="N29" s="3" t="str">
        <x:v>Не источник численности, размеров улиц или этнического состава.</x:v>
      </x:c>
    </x:row>
    <x:row r="30" ht="96" customHeight="1">
      <x:c r="A30" s="3" t="str">
        <x:v>S029</x:v>
      </x:c>
      <x:c r="B30" s="3" t="str">
        <x:v>TATARICA</x:v>
      </x:c>
      <x:c r="C30" s="3" t="str">
        <x:v>Даутова дома</x:v>
      </x:c>
      <x:c r="D30" s="3" t="str"/>
      <x:c r="E30" s="3" t="str">
        <x:v>Статья об архитектуре</x:v>
      </x:c>
      <x:c r="F30" s="3" t="str"/>
      <x:c r="G30" s="3" t="str">
        <x:v>https://tatarica.org/ru/razdely/kultura/iskusstvo/arhitektura/zdaniya-i-sooruzheniya/dautova-doma</x:v>
      </x:c>
      <x:c r="H30" s="3" t="str"/>
      <x:c r="I30" s="3" t="str">
        <x:v>Большая Атня</x:v>
      </x:c>
      <x:c r="J30" s="3" t="str">
        <x:v>XIX в.; обмеры 1946; реставрация 2001</x:v>
      </x:c>
      <x:c r="K30" s="3" t="str">
        <x:v>Полный текст</x:v>
      </x:c>
      <x:c r="L30" s="3" t="str">
        <x:v>Описание объема, планировки и реставрации</x:v>
      </x:c>
      <x:c r="M30" s="3" t="str">
        <x:v>2026-09-14</x:v>
      </x:c>
      <x:c r="N30" s="3" t="str">
        <x:v>Дом состоятельного владельца; реставрированный музей. Обмерные чертежи 1946 г. не получены.</x:v>
      </x:c>
    </x:row>
    <x:row r="31" ht="96" customHeight="1">
      <x:c r="A31" s="3" t="str">
        <x:v>S030</x:v>
      </x:c>
      <x:c r="B31" s="3" t="str">
        <x:v>Урманчеев Ф. И.</x:v>
      </x:c>
      <x:c r="C31" s="3" t="str">
        <x:v>Шурале. TATARICA</x:v>
      </x:c>
      <x:c r="D31" s="3" t="str"/>
      <x:c r="E31" s="3" t="str">
        <x:v>Научная энциклопедическая статья</x:v>
      </x:c>
      <x:c r="F31" s="3" t="str"/>
      <x:c r="G31" s="3" t="str">
        <x:v>https://tatarica.org/ru/razdely/narody/tatary/verovaniya-i-mifologiya/mifologicheskie-personazhi/shurale</x:v>
      </x:c>
      <x:c r="H31" s="3" t="str"/>
      <x:c r="I31" s="3" t="str">
        <x:v>Казанские татары; обобщение вариантов</x:v>
      </x:c>
      <x:c r="J31" s="3" t="str">
        <x:v>Исторические записи и научные обобщения</x:v>
      </x:c>
      <x:c r="K31" s="3" t="str">
        <x:v>Полный текст</x:v>
      </x:c>
      <x:c r="L31" s="3" t="str">
        <x:v>Прочитана статья и библиография</x:v>
      </x:c>
      <x:c r="M31" s="3" t="str">
        <x:v>2026-09-14</x:v>
      </x:c>
      <x:c r="N31" s="3" t="str">
        <x:v>Вторичный синтез, не паспорт каждой полевой записи; мотивы нельзя складывать в единую биографию существа.</x:v>
      </x:c>
    </x:row>
    <x:row r="32" ht="96" customHeight="1">
      <x:c r="A32" s="3" t="str">
        <x:v>S031</x:v>
      </x:c>
      <x:c r="B32" s="3" t="str">
        <x:v>Тукай Габдулла</x:v>
      </x:c>
      <x:c r="C32" s="3" t="str">
        <x:v>Шүрәле</x:v>
      </x:c>
      <x:c r="D32" s="3" t="n">
        <x:v>1907</x:v>
      </x:c>
      <x:c r="E32" s="3" t="str">
        <x:v>Авторское литературное произведение; современный электронный набор</x:v>
      </x:c>
      <x:c r="F32" s="3" t="str"/>
      <x:c r="G32" s="3" t="str">
        <x:v>https://tugan-tel.tatar/adabiyat/shigriyat/Gabdulla_Tukai/shurale.pdf</x:v>
      </x:c>
      <x:c r="H32" s="3" t="str"/>
      <x:c r="I32" s="3" t="str">
        <x:v>Кырлай как литературный образ</x:v>
      </x:c>
      <x:c r="J32" s="3" t="str">
        <x:v>Авторский текст 1907 г.</x:v>
      </x:c>
      <x:c r="K32" s="3" t="str">
        <x:v>Полный текст</x:v>
      </x:c>
      <x:c r="L32" s="3" t="str">
        <x:v>Прочитан татарский текст, 5 страниц файла; просмотрена страница файла 3</x:v>
      </x:c>
      <x:c r="M32" s="3" t="str">
        <x:v>2026-09-14</x:v>
      </x:c>
      <x:c r="N32" s="3" t="str">
        <x:v>Это не критическое издание с текстологическим аппаратом. Не фольклорная полевая запись. Права на перевод отдельно.</x:v>
      </x:c>
    </x:row>
    <x:row r="33" ht="96" customHeight="1">
      <x:c r="A33" s="3" t="str">
        <x:v>S032</x:v>
      </x:c>
      <x:c r="B33" s="3" t="str">
        <x:v>Коблов Я. Д.</x:v>
      </x:c>
      <x:c r="C33" s="3" t="str">
        <x:v>Мифология казанских татар. Казань: типо-литография Императорского университета. 49 с.</x:v>
      </x:c>
      <x:c r="D33" s="3" t="n">
        <x:v>1910</x:v>
      </x:c>
      <x:c r="E33" s="3" t="str">
        <x:v>Каталог Президентской библиотеки</x:v>
      </x:c>
      <x:c r="F33" s="3" t="str"/>
      <x:c r="G33" s="3" t="str">
        <x:v>https://www.prlib.ru/item/427512</x:v>
      </x:c>
      <x:c r="H33" s="3" t="str">
        <x:v>НЭБ 000199_000009_003768729</x:v>
      </x:c>
      <x:c r="I33" s="3" t="str">
        <x:v>Казанские татары</x:v>
      </x:c>
      <x:c r="J33" s="3" t="str">
        <x:v>Начало XX в.</x:v>
      </x:c>
      <x:c r="K33" s="3" t="str">
        <x:v>Каталог</x:v>
      </x:c>
      <x:c r="L33" s="3" t="str">
        <x:v>Сверены автор, название, выходные сведения, объем; текст книги не прочитан</x:v>
      </x:c>
      <x:c r="M33" s="3" t="str">
        <x:v>2026-09-14</x:v>
      </x:c>
      <x:c r="N33" s="3" t="str">
        <x:v>Не приписывать книге точные мотивы или цитаты по вторичным пересказам.</x:v>
      </x:c>
    </x:row>
    <x:row r="34" ht="96" customHeight="1">
      <x:c r="A34" s="3" t="str">
        <x:v>S033</x:v>
      </x:c>
      <x:c r="B34" s="3" t="str">
        <x:v>Туганайлар; пересказ исследования С. Е. Максимова</x:v>
      </x:c>
      <x:c r="C34" s="3" t="str">
        <x:v>Персона ШУРАЛЕ в верованиях кряшен</x:v>
      </x:c>
      <x:c r="D34" s="3" t="n">
        <x:v>2013</x:v>
      </x:c>
      <x:c r="E34" s="3" t="str">
        <x:v>Региональная публикация с историческими цитатами</x:v>
      </x:c>
      <x:c r="F34" s="3" t="str"/>
      <x:c r="G34" s="3" t="str">
        <x:v>https://tuganaylar.ru/news/etnografichsekaya-mozaika/persona-shurale-v-verovaniyah-kryashen</x:v>
      </x:c>
      <x:c r="H34" s="3" t="str"/>
      <x:c r="I34" s="3" t="str">
        <x:v>Кряшены Казанской губернии; точная локализация первичной записи не проверена</x:v>
      </x:c>
      <x:c r="J34" s="3" t="str">
        <x:v>Пересказ материала 1867 г.; публикация 16.01.2013</x:v>
      </x:c>
      <x:c r="K34" s="3" t="str">
        <x:v>Релевантные разделы полного текста</x:v>
      </x:c>
      <x:c r="L34" s="3" t="str">
        <x:v>Прочитан материал о Максимове и мотивах рассказов</x:v>
      </x:c>
      <x:c r="M34" s="3" t="str">
        <x:v>2026-09-14</x:v>
      </x:c>
      <x:c r="N34" s="3" t="str">
        <x:v>Оригинал Максимова не изучен. Не независимое подтверждение всех деталей Коблова или Насыри; общая генеалогия заимствований не проверена.</x:v>
      </x:c>
    </x:row>
    <x:row r="35" ht="96" customHeight="1">
      <x:c r="A35" s="3" t="str">
        <x:v>S034</x:v>
      </x:c>
      <x:c r="B35" s="3" t="str">
        <x:v>АН РТ, ИЯЛИ</x:v>
      </x:c>
      <x:c r="C35" s="3" t="str">
        <x:v>Сүзлекләрнең электрон фонды</x:v>
      </x:c>
      <x:c r="D35" s="3" t="str"/>
      <x:c r="E35" s="3" t="str">
        <x:v>Электронный фонд словарей</x:v>
      </x:c>
      <x:c r="F35" s="3" t="str"/>
      <x:c r="G35" s="3" t="str">
        <x:v>https://suzlek.antat.ru/</x:v>
      </x:c>
      <x:c r="H35" s="3" t="str"/>
      <x:c r="I35" s="3" t="str">
        <x:v>Татарский язык</x:v>
      </x:c>
      <x:c r="J35" s="3" t="str">
        <x:v>Разные словари, в том числе современные</x:v>
      </x:c>
      <x:c r="K35" s="3" t="str">
        <x:v>Главная страница и описание фонда</x:v>
      </x:c>
      <x:c r="L35" s="3" t="str">
        <x:v>Проверены существование и состав ресурса; отдельные словарные статьи не выгружены</x:v>
      </x:c>
      <x:c r="M35" s="3" t="str">
        <x:v>2026-09-14</x:v>
      </x:c>
      <x:c r="N35" s="3" t="str">
        <x:v>Ни один термин в пакете не помечен как сверенный по этому словарю, если проверялась только главная страница.</x:v>
      </x:c>
    </x:row>
    <x:row r="36" ht="96" customHeight="1">
      <x:c r="A36" s="3" t="str">
        <x:v>S035</x:v>
      </x:c>
      <x:c r="B36" s="3" t="str">
        <x:v>Таткультресурсцентр</x:v>
      </x:c>
      <x:c r="C36" s="3" t="str">
        <x:v>Сведения об учреждении и реорганизации</x:v>
      </x:c>
      <x:c r="D36" s="3" t="str"/>
      <x:c r="E36" s="3" t="str">
        <x:v>Официальная институциональная страница</x:v>
      </x:c>
      <x:c r="F36" s="3" t="str"/>
      <x:c r="G36" s="3" t="str">
        <x:v>https://tatcultresurs.ru/gbu-tatkultresurscentr</x:v>
      </x:c>
      <x:c r="H36" s="3" t="str"/>
      <x:c r="I36" s="3" t="str">
        <x:v>Республика Татарстан</x:v>
      </x:c>
      <x:c r="J36" s="3" t="str">
        <x:v>2020, история учреждения</x:v>
      </x:c>
      <x:c r="K36" s="3" t="str">
        <x:v>Полный текст</x:v>
      </x:c>
      <x:c r="L36" s="3" t="str">
        <x:v>Прочитаны сведения о создании 22.07.2020 и реорганизационной связи с прежним центром традиционной культуры</x:v>
      </x:c>
      <x:c r="M36" s="3" t="str">
        <x:v>2026-09-14</x:v>
      </x:c>
      <x:c r="N36" s="3" t="str">
        <x:v>Звукозаписи учреждения не прослушаны.</x:v>
      </x:c>
    </x:row>
    <x:row r="37" ht="96" customHeight="1">
      <x:c r="A37" s="3" t="str">
        <x:v>S036</x:v>
      </x:c>
      <x:c r="B37" s="3" t="str">
        <x:v>АО «Новый Век»</x:v>
      </x:c>
      <x:c r="C37" s="3" t="str">
        <x:v>О телеканале ТНВ</x:v>
      </x:c>
      <x:c r="D37" s="3" t="str"/>
      <x:c r="E37" s="3" t="str">
        <x:v>Официальная история вещателя</x:v>
      </x:c>
      <x:c r="F37" s="3" t="str"/>
      <x:c r="G37" s="3" t="str">
        <x:v>https://tnv.ru/about/</x:v>
      </x:c>
      <x:c r="H37" s="3" t="str"/>
      <x:c r="I37" s="3" t="str">
        <x:v>Татарстан; зоны вещания шире республики</x:v>
      </x:c>
      <x:c r="J37" s="3" t="str">
        <x:v>2002–2026</x:v>
      </x:c>
      <x:c r="K37" s="3" t="str">
        <x:v>Релевантные разделы полного текста</x:v>
      </x:c>
      <x:c r="L37" s="3" t="str">
        <x:v>Даты начала каналов и характер программ; не архив конкретных эфиров</x:v>
      </x:c>
      <x:c r="M37" s="3" t="str">
        <x:v>2026-09-14</x:v>
      </x:c>
      <x:c r="N37" s="3" t="str">
        <x:v>Доступность канала конкретному дому в 2015 г. и способ приема не установлены.</x:v>
      </x:c>
    </x:row>
    <x:row r="38" ht="96" customHeight="1">
      <x:c r="A38" s="3" t="str">
        <x:v>S037</x:v>
      </x:c>
      <x:c r="B38" s="3" t="str"/>
      <x:c r="C38" s="3" t="str">
        <x:v>Шурале, чтение на татарском, часть 1</x:v>
      </x:c>
      <x:c r="D38" s="3" t="str"/>
      <x:c r="E38" s="3" t="str">
        <x:v>Видеокандидат</x:v>
      </x:c>
      <x:c r="F38" s="3" t="str"/>
      <x:c r="G38" s="3" t="str">
        <x:v>https://www.youtube.com/watch?v=jgc8aln7CI8</x:v>
      </x:c>
      <x:c r="H38" s="3" t="str"/>
      <x:c r="I38" s="3" t="str">
        <x:v>Не установлено</x:v>
      </x:c>
      <x:c r="J38" s="3" t="str">
        <x:v>Не установлено</x:v>
      </x:c>
      <x:c r="K38" s="3" t="str">
        <x:v>Поисковая карточка</x:v>
      </x:c>
      <x:c r="L38" s="3" t="str">
        <x:v>Не воспроизведено и не прослушано</x:v>
      </x:c>
      <x:c r="M38" s="3" t="str">
        <x:v>2026-09-14</x:v>
      </x:c>
      <x:c r="N38" s="3" t="str">
        <x:v>Не подтверждает произношение, тембр, монтаж или пригодность записи.</x:v>
      </x:c>
    </x:row>
    <x:row r="39" ht="96" customHeight="1">
      <x:c r="A39" s="3" t="str">
        <x:v>S038</x:v>
      </x:c>
      <x:c r="B39" s="3" t="str"/>
      <x:c r="C39" s="3" t="str">
        <x:v>Татар халык иҗаты: риваятьләр һәм легендалар. Казан</x:v>
      </x:c>
      <x:c r="D39" s="3" t="n">
        <x:v>1987</x:v>
      </x:c>
      <x:c r="E39" s="3" t="str">
        <x:v>Фольклорный сборник, библиографический ориентир</x:v>
      </x:c>
      <x:c r="F39" s="3" t="str"/>
      <x:c r="G39" s="3" t="str">
        <x:v>https://tatarica.org/ru/razdely/narody/tatary/verovaniya-i-mifologiya/mifologicheskie-personazhi/shurale</x:v>
      </x:c>
      <x:c r="H39" s="3" t="str"/>
      <x:c r="I39" s="3" t="str">
        <x:v>Татарский фольклор</x:v>
      </x:c>
      <x:c r="J39" s="3" t="str">
        <x:v>Исторические записи: паспорта не изучены</x:v>
      </x:c>
      <x:c r="K39" s="3" t="str">
        <x:v>Библиография другого прочитанного источника</x:v>
      </x:c>
      <x:c r="L39" s="3" t="str">
        <x:v>Название и год по S030; тексты и паспорта сборника не прочитаны</x:v>
      </x:c>
      <x:c r="M39" s="3" t="str">
        <x:v>2026-09-14</x:v>
      </x:c>
      <x:c r="N39" s="3" t="str">
        <x:v>Не источник установленных здесь мест и дат полевых записей.</x:v>
      </x:c>
    </x:row>
    <x:row r="40" ht="96" customHeight="1">
      <x:c r="A40" s="3" t="str">
        <x:v>S039</x:v>
      </x:c>
      <x:c r="B40" s="3" t="str">
        <x:v>Creative Commons</x:v>
      </x:c>
      <x:c r="C40" s="3" t="str">
        <x:v>Attribution-ShareAlike 4.0 International: deed</x:v>
      </x:c>
      <x:c r="D40" s="3" t="str"/>
      <x:c r="E40" s="3" t="str">
        <x:v>Официальное описание лицензии</x:v>
      </x:c>
      <x:c r="F40" s="3" t="str"/>
      <x:c r="G40" s="3" t="str">
        <x:v>https://creativecommons.org/licenses/by-sa/4.0/</x:v>
      </x:c>
      <x:c r="H40" s="3" t="str"/>
      <x:c r="I40" s="3" t="str">
        <x:v>Международная лицензия</x:v>
      </x:c>
      <x:c r="J40" s="3" t="str">
        <x:v>Текущая версия лицензии 4.0</x:v>
      </x:c>
      <x:c r="K40" s="3" t="str">
        <x:v>Релевантные разделы полного текста</x:v>
      </x:c>
      <x:c r="L40" s="3" t="str">
        <x:v>Условия атрибуции, обозначения изменений и ShareAlike</x:v>
      </x:c>
      <x:c r="M40" s="3" t="str">
        <x:v>2026-09-14</x:v>
      </x:c>
      <x:c r="N40" s="3" t="str">
        <x:v>Не заменяет проверку прав на каждый объект; права третьих лиц могут сохраняться.</x:v>
      </x:c>
    </x:row>
    <x:row r="41" ht="96" customHeight="1">
      <x:c r="A41" s="3" t="str">
        <x:v>S040</x:v>
      </x:c>
      <x:c r="B41" s="3" t="str">
        <x:v>NOAA Global Monitoring Laboratory</x:v>
      </x:c>
      <x:c r="C41" s="3" t="str">
        <x:v>Solar Calculation Details</x:v>
      </x:c>
      <x:c r="D41" s="3" t="str"/>
      <x:c r="E41" s="3" t="str">
        <x:v>Официальное описание солнечных расчетов</x:v>
      </x:c>
      <x:c r="F41" s="3" t="str"/>
      <x:c r="G41" s="3" t="str">
        <x:v>https://gml.noaa.gov/grad/solcalc/calcdetails.html</x:v>
      </x:c>
      <x:c r="H41" s="3" t="str"/>
      <x:c r="I41" s="3" t="str">
        <x:v>Географически общий метод</x:v>
      </x:c>
      <x:c r="J41" s="3" t="str">
        <x:v>Астрономическая модель</x:v>
      </x:c>
      <x:c r="K41" s="3" t="str">
        <x:v>Релевантные разделы полного текста</x:v>
      </x:c>
      <x:c r="L41" s="3" t="str">
        <x:v>Сведения об алгоритмах и ограничениях расчета восхода/заката</x:v>
      </x:c>
      <x:c r="M41" s="3" t="str">
        <x:v>2026-09-14</x:v>
      </x:c>
      <x:c r="N41" s="3" t="str">
        <x:v>В пакете применяется отдельно описанная упрощенная геометрическая формула, а не результаты калькулятора NOAA.</x:v>
      </x:c>
    </x:row>
    <x:row r="42" ht="96" customHeight="1">
      <x:c r="A42" s="3" t="str">
        <x:v>S101</x:v>
      </x:c>
      <x:c r="B42" s="3" t="str">
        <x:v>Engelberthumperdink</x:v>
      </x:c>
      <x:c r="C42" s="3" t="str">
        <x:v>Улица: смешанные ограждения и весенняя обочина</x:v>
      </x:c>
      <x:c r="D42" s="3" t="str"/>
      <x:c r="E42" s="3" t="str">
        <x:v>Карточка фотографии</x:v>
      </x:c>
      <x:c r="F42" s="3" t="str"/>
      <x:c r="G42" s="3" t="str">
        <x:v>https://commons.wikimedia.org/wiki/File:New_Kyrlai_(2021-04-26)_01.jpg</x:v>
      </x:c>
      <x:c r="H42" s="3" t="str"/>
      <x:c r="I42" s="3" t="str">
        <x:v>Новый Кырлай, Арский район</x:v>
      </x:c>
      <x:c r="J42" s="3" t="str">
        <x:v>2021-04-26</x:v>
      </x:c>
      <x:c r="K42" s="3" t="str">
        <x:v>Изображение и карточка</x:v>
      </x:c>
      <x:c r="L42" s="3" t="str">
        <x:v>Просмотрено изображение; метаданные использованы только в заполненных полях</x:v>
      </x:c>
      <x:c r="M42" s="3" t="str">
        <x:v>2026-09-14</x:v>
      </x:c>
      <x:c r="N42" s="3" t="str">
        <x:v>Нет масштаба, возраста ремонта, вида кустарника, данных о дворе за ограждением</x:v>
      </x:c>
    </x:row>
    <x:row r="43" ht="96" customHeight="1">
      <x:c r="A43" s="3" t="str">
        <x:v>S102</x:v>
      </x:c>
      <x:c r="B43" s="3" t="str">
        <x:v>TimoteoCirkla</x:v>
      </x:c>
      <x:c r="C43" s="3" t="str">
        <x:v>Летний водоем и древесный берег</x:v>
      </x:c>
      <x:c r="D43" s="3" t="str"/>
      <x:c r="E43" s="3" t="str">
        <x:v>Карточка фотографии</x:v>
      </x:c>
      <x:c r="F43" s="3" t="str"/>
      <x:c r="G43" s="3" t="str">
        <x:v>https://commons.wikimedia.org/wiki/File:2014-07-15_14-02-02_Тукай-Кырлай.jpg</x:v>
      </x:c>
      <x:c r="H43" s="3" t="str"/>
      <x:c r="I43" s="3" t="str">
        <x:v>Новый Кырлай, Арский район</x:v>
      </x:c>
      <x:c r="J43" s="3" t="str">
        <x:v>2014-07-15</x:v>
      </x:c>
      <x:c r="K43" s="3" t="str">
        <x:v>Изображение и карточка</x:v>
      </x:c>
      <x:c r="L43" s="3" t="str">
        <x:v>Просмотрено изображение; метаданные использованы только в заполненных полях</x:v>
      </x:c>
      <x:c r="M43" s="3" t="str">
        <x:v>2026-09-14</x:v>
      </x:c>
      <x:c r="N43" s="3" t="str">
        <x:v>Точное название водоема, глубина, ширина и качество воды не установлены</x:v>
      </x:c>
    </x:row>
    <x:row r="44" ht="96" customHeight="1">
      <x:c r="A44" s="3" t="str">
        <x:v>S103</x:v>
      </x:c>
      <x:c r="B44" s="3" t="str">
        <x:v>Engelberthumperdink</x:v>
      </x:c>
      <x:c r="C44" s="3" t="str">
        <x:v>Постельный текстиль в музейном интерьере</x:v>
      </x:c>
      <x:c r="D44" s="3" t="str"/>
      <x:c r="E44" s="3" t="str">
        <x:v>Карточка фотографии</x:v>
      </x:c>
      <x:c r="F44" s="3" t="str"/>
      <x:c r="G44" s="3" t="str">
        <x:v>https://commons.wikimedia.org/wiki/File:Sagdi-aby_house_interior_(2021-04-26)_05.jpg</x:v>
      </x:c>
      <x:c r="H44" s="3" t="str"/>
      <x:c r="I44" s="3" t="str">
        <x:v>Новый Кырлай, Арский район</x:v>
      </x:c>
      <x:c r="J44" s="3" t="str">
        <x:v>2021-04-26</x:v>
      </x:c>
      <x:c r="K44" s="3" t="str">
        <x:v>Изображение и карточка</x:v>
      </x:c>
      <x:c r="L44" s="3" t="str">
        <x:v>Просмотрено изображение; метаданные использованы только в заполненных полях</x:v>
      </x:c>
      <x:c r="M44" s="3" t="str">
        <x:v>2026-09-14</x:v>
      </x:c>
      <x:c r="N44" s="3" t="str">
        <x:v>Не современный жилой дом; волокно ткани, набивка, точные размеры и повседневная частота такой укладки не установлены</x:v>
      </x:c>
    </x:row>
    <x:row r="45" ht="96" customHeight="1">
      <x:c r="A45" s="3" t="str">
        <x:v>S104</x:v>
      </x:c>
      <x:c r="B45" s="3" t="str">
        <x:v>Engelberthumperdink</x:v>
      </x:c>
      <x:c r="C45" s="3" t="str">
        <x:v>Музейная комната: печь, стол и занавеси</x:v>
      </x:c>
      <x:c r="D45" s="3" t="str"/>
      <x:c r="E45" s="3" t="str">
        <x:v>Карточка фотографии</x:v>
      </x:c>
      <x:c r="F45" s="3" t="str"/>
      <x:c r="G45" s="3" t="str">
        <x:v>https://commons.wikimedia.org/wiki/File:Sagdi-aby_house_interior_(2021-04-26)_21.jpg</x:v>
      </x:c>
      <x:c r="H45" s="3" t="str"/>
      <x:c r="I45" s="3" t="str">
        <x:v>Новый Кырлай, Арский район</x:v>
      </x:c>
      <x:c r="J45" s="3" t="str">
        <x:v>2021-04-26</x:v>
      </x:c>
      <x:c r="K45" s="3" t="str">
        <x:v>Изображение и карточка</x:v>
      </x:c>
      <x:c r="L45" s="3" t="str">
        <x:v>Просмотрено изображение; метаданные использованы только в заполненных полях</x:v>
      </x:c>
      <x:c r="M45" s="3" t="str">
        <x:v>2026-09-14</x:v>
      </x:c>
      <x:c r="N45" s="3" t="str">
        <x:v>Не действующий интерьер 2015 г.; нельзя восстановить полный план, инженерные коммуникации или типичность вещей</x:v>
      </x:c>
    </x:row>
    <x:row r="46" ht="96" customHeight="1">
      <x:c r="A46" s="3" t="str">
        <x:v>S105</x:v>
      </x:c>
      <x:c r="B46" s="3" t="str">
        <x:v>Engelberthumperdink</x:v>
      </x:c>
      <x:c r="C46" s="3" t="str">
        <x:v>Фасад музейного дома Сагди-абыя</x:v>
      </x:c>
      <x:c r="D46" s="3" t="str"/>
      <x:c r="E46" s="3" t="str">
        <x:v>Карточка фотографии</x:v>
      </x:c>
      <x:c r="F46" s="3" t="str"/>
      <x:c r="G46" s="3" t="str">
        <x:v>https://commons.wikimedia.org/wiki/File:Sagdi-aby_house_(2021-04-26)_04.jpg</x:v>
      </x:c>
      <x:c r="H46" s="3" t="str"/>
      <x:c r="I46" s="3" t="str">
        <x:v>Новый Кырлай, Арский район</x:v>
      </x:c>
      <x:c r="J46" s="3" t="str">
        <x:v>2021-04-26</x:v>
      </x:c>
      <x:c r="K46" s="3" t="str">
        <x:v>Изображение и карточка</x:v>
      </x:c>
      <x:c r="L46" s="3" t="str">
        <x:v>Просмотрено изображение; метаданные использованы только в заполненных полях</x:v>
      </x:c>
      <x:c r="M46" s="3" t="str">
        <x:v>2026-09-14</x:v>
      </x:c>
      <x:c r="N46" s="3" t="str">
        <x:v>Назначение трубы и размеры без обмера не установлены; восстановленный музей, не неремонтированный исторический дом</x:v>
      </x:c>
    </x:row>
    <x:row r="47" ht="96" customHeight="1">
      <x:c r="A47" s="3" t="str">
        <x:v>S106</x:v>
      </x:c>
      <x:c r="B47" s="3" t="str">
        <x:v>Engelberthumperdink</x:v>
      </x:c>
      <x:c r="C47" s="3" t="str">
        <x:v>Печь: объем и поверхности</x:v>
      </x:c>
      <x:c r="D47" s="3" t="str"/>
      <x:c r="E47" s="3" t="str">
        <x:v>Карточка фотографии</x:v>
      </x:c>
      <x:c r="F47" s="3" t="str"/>
      <x:c r="G47" s="3" t="str">
        <x:v>https://commons.wikimedia.org/wiki/File:Sagdi-aby_house_interior_(2021-04-26)_07.jpg</x:v>
      </x:c>
      <x:c r="H47" s="3" t="str"/>
      <x:c r="I47" s="3" t="str">
        <x:v>Новый Кырлай, Арский район</x:v>
      </x:c>
      <x:c r="J47" s="3" t="str">
        <x:v>2021-04-26</x:v>
      </x:c>
      <x:c r="K47" s="3" t="str">
        <x:v>Изображение и карточка</x:v>
      </x:c>
      <x:c r="L47" s="3" t="str">
        <x:v>Просмотрено изображение; метаданные использованы только в заполненных полях</x:v>
      </x:c>
      <x:c r="M47" s="3" t="str">
        <x:v>2026-09-14</x:v>
      </x:c>
      <x:c r="N47" s="3" t="str">
        <x:v>Нет разреза дымохода, данных о работоспособности или размеров</x:v>
      </x:c>
    </x:row>
    <x:row r="48" ht="96" customHeight="1">
      <x:c r="A48" s="3" t="str">
        <x:v>S107</x:v>
      </x:c>
      <x:c r="B48" s="3" t="str">
        <x:v>Engelberthumperdink</x:v>
      </x:c>
      <x:c r="C48" s="3" t="str">
        <x:v>Подвесная колыбель и текстиль</x:v>
      </x:c>
      <x:c r="D48" s="3" t="str"/>
      <x:c r="E48" s="3" t="str">
        <x:v>Карточка фотографии</x:v>
      </x:c>
      <x:c r="F48" s="3" t="str"/>
      <x:c r="G48" s="3" t="str">
        <x:v>https://commons.wikimedia.org/wiki/File:Sagdi-aby_house_interior_(2021-04-26)_10.jpg</x:v>
      </x:c>
      <x:c r="H48" s="3" t="str"/>
      <x:c r="I48" s="3" t="str">
        <x:v>Новый Кырлай, Арский район</x:v>
      </x:c>
      <x:c r="J48" s="3" t="str">
        <x:v>2021-04-26</x:v>
      </x:c>
      <x:c r="K48" s="3" t="str">
        <x:v>Изображение и карточка</x:v>
      </x:c>
      <x:c r="L48" s="3" t="str">
        <x:v>Просмотрено изображение; метаданные использованы только в заполненных полях</x:v>
      </x:c>
      <x:c r="M48" s="3" t="str">
        <x:v>2026-09-14</x:v>
      </x:c>
      <x:c r="N48" s="3" t="str">
        <x:v>Не доказательство применения колыбели в местной семье XXI в.</x:v>
      </x:c>
    </x:row>
    <x:row r="49" ht="96" customHeight="1">
      <x:c r="A49" s="3" t="str">
        <x:v>S108</x:v>
      </x:c>
      <x:c r="B49" s="3" t="str">
        <x:v>Engelberthumperdink</x:v>
      </x:c>
      <x:c r="C49" s="3" t="str">
        <x:v>Припечный металлический инвентарь</x:v>
      </x:c>
      <x:c r="D49" s="3" t="str"/>
      <x:c r="E49" s="3" t="str">
        <x:v>Карточка фотографии</x:v>
      </x:c>
      <x:c r="F49" s="3" t="str"/>
      <x:c r="G49" s="3" t="str">
        <x:v>https://commons.wikimedia.org/wiki/File:Sagdi-aby_house_interior_(2021-04-26)_15.jpg</x:v>
      </x:c>
      <x:c r="H49" s="3" t="str"/>
      <x:c r="I49" s="3" t="str">
        <x:v>Новый Кырлай, Арский район</x:v>
      </x:c>
      <x:c r="J49" s="3" t="str">
        <x:v>2021-04-26</x:v>
      </x:c>
      <x:c r="K49" s="3" t="str">
        <x:v>Изображение и карточка</x:v>
      </x:c>
      <x:c r="L49" s="3" t="str">
        <x:v>Просмотрено изображение; метаданные использованы только в заполненных полях</x:v>
      </x:c>
      <x:c r="M49" s="3" t="str">
        <x:v>2026-09-14</x:v>
      </x:c>
      <x:c r="N49" s="3" t="str">
        <x:v>Назначение каждого предмета требует инвентарной карточки</x:v>
      </x:c>
    </x:row>
    <x:row r="50" ht="96" customHeight="1">
      <x:c r="A50" s="3" t="str">
        <x:v>S109</x:v>
      </x:c>
      <x:c r="B50" s="3" t="str">
        <x:v>Engelberthumperdink</x:v>
      </x:c>
      <x:c r="C50" s="3" t="str">
        <x:v>Горшки у печи</x:v>
      </x:c>
      <x:c r="D50" s="3" t="str"/>
      <x:c r="E50" s="3" t="str">
        <x:v>Карточка фотографии</x:v>
      </x:c>
      <x:c r="F50" s="3" t="str"/>
      <x:c r="G50" s="3" t="str">
        <x:v>https://commons.wikimedia.org/wiki/File:Sagdi-aby_house_interior_(2021-04-26)_16.jpg</x:v>
      </x:c>
      <x:c r="H50" s="3" t="str"/>
      <x:c r="I50" s="3" t="str">
        <x:v>Новый Кырлай, Арский район</x:v>
      </x:c>
      <x:c r="J50" s="3" t="str">
        <x:v>2021-04-26</x:v>
      </x:c>
      <x:c r="K50" s="3" t="str">
        <x:v>Изображение и карточка</x:v>
      </x:c>
      <x:c r="L50" s="3" t="str">
        <x:v>Просмотрено изображение; метаданные использованы только в заполненных полях</x:v>
      </x:c>
      <x:c r="M50" s="3" t="str">
        <x:v>2026-09-14</x:v>
      </x:c>
      <x:c r="N50" s="3" t="str">
        <x:v>Техника изготовления, датировка и использование в обычном доме не установлены</x:v>
      </x:c>
    </x:row>
    <x:row r="51" ht="96" customHeight="1">
      <x:c r="A51" s="3" t="str">
        <x:v>S110</x:v>
      </x:c>
      <x:c r="B51" s="3" t="str">
        <x:v>Engelberthumperdink</x:v>
      </x:c>
      <x:c r="C51" s="3" t="str">
        <x:v>Стол и утварь у печи</x:v>
      </x:c>
      <x:c r="D51" s="3" t="str"/>
      <x:c r="E51" s="3" t="str">
        <x:v>Карточка фотографии</x:v>
      </x:c>
      <x:c r="F51" s="3" t="str"/>
      <x:c r="G51" s="3" t="str">
        <x:v>https://commons.wikimedia.org/wiki/File:Sagdi-aby_house_interior_(2021-04-26)_18.jpg</x:v>
      </x:c>
      <x:c r="H51" s="3" t="str"/>
      <x:c r="I51" s="3" t="str">
        <x:v>Новый Кырлай, Арский район</x:v>
      </x:c>
      <x:c r="J51" s="3" t="str">
        <x:v>2021-04-26</x:v>
      </x:c>
      <x:c r="K51" s="3" t="str">
        <x:v>Изображение и карточка</x:v>
      </x:c>
      <x:c r="L51" s="3" t="str">
        <x:v>Просмотрено изображение; метаданные использованы только в заполненных полях</x:v>
      </x:c>
      <x:c r="M51" s="3" t="str">
        <x:v>2026-09-14</x:v>
      </x:c>
      <x:c r="N51" s="3" t="str">
        <x:v>Материал сплава и бытовая схема использования не установлены</x:v>
      </x:c>
    </x:row>
    <x:row r="52" ht="96" customHeight="1">
      <x:c r="A52" s="3" t="str">
        <x:v>S111</x:v>
      </x:c>
      <x:c r="B52" s="3" t="str">
        <x:v>Engelberthumperdink</x:v>
      </x:c>
      <x:c r="C52" s="3" t="str">
        <x:v>Музейный набор деревянной и металлической утвари</x:v>
      </x:c>
      <x:c r="D52" s="3" t="str"/>
      <x:c r="E52" s="3" t="str">
        <x:v>Карточка фотографии</x:v>
      </x:c>
      <x:c r="F52" s="3" t="str"/>
      <x:c r="G52" s="3" t="str">
        <x:v>https://commons.wikimedia.org/wiki/File:Sagdi-aby_house_interior_(2021-04-26)_11.jpg</x:v>
      </x:c>
      <x:c r="H52" s="3" t="str"/>
      <x:c r="I52" s="3" t="str">
        <x:v>Новый Кырлай, Арский район</x:v>
      </x:c>
      <x:c r="J52" s="3" t="str">
        <x:v>2021-04-26</x:v>
      </x:c>
      <x:c r="K52" s="3" t="str">
        <x:v>Изображение и карточка</x:v>
      </x:c>
      <x:c r="L52" s="3" t="str">
        <x:v>Просмотрено изображение; метаданные использованы только в заполненных полях</x:v>
      </x:c>
      <x:c r="M52" s="3" t="str">
        <x:v>2026-09-14</x:v>
      </x:c>
      <x:c r="N52" s="3" t="str">
        <x:v>Это экспозиционная подборка, а не расположение работающей кухни</x:v>
      </x:c>
    </x:row>
    <x:row r="53" ht="96" customHeight="1">
      <x:c r="A53" s="3" t="str">
        <x:v>S112</x:v>
      </x:c>
      <x:c r="B53" s="3" t="str">
        <x:v>Engelberthumperdink</x:v>
      </x:c>
      <x:c r="C53" s="3" t="str">
        <x:v>Низкое дворовое сооружение</x:v>
      </x:c>
      <x:c r="D53" s="3" t="str"/>
      <x:c r="E53" s="3" t="str">
        <x:v>Карточка фотографии</x:v>
      </x:c>
      <x:c r="F53" s="3" t="str"/>
      <x:c r="G53" s="3" t="str">
        <x:v>https://commons.wikimedia.org/wiki/File:Sagdi-aby_house_(2021-04-26)_20.jpg</x:v>
      </x:c>
      <x:c r="H53" s="3" t="str"/>
      <x:c r="I53" s="3" t="str">
        <x:v>Новый Кырлай, Арский район</x:v>
      </x:c>
      <x:c r="J53" s="3" t="str">
        <x:v>2021-04-26</x:v>
      </x:c>
      <x:c r="K53" s="3" t="str">
        <x:v>Изображение и карточка</x:v>
      </x:c>
      <x:c r="L53" s="3" t="str">
        <x:v>Просмотрено изображение; метаданные использованы только в заполненных полях</x:v>
      </x:c>
      <x:c r="M53" s="3" t="str">
        <x:v>2026-09-14</x:v>
      </x:c>
      <x:c r="N53" s="3" t="str">
        <x:v>Функция предположительно погребная; без музейного паспорта не установлена</x:v>
      </x:c>
    </x:row>
    <x:row r="54" ht="96" customHeight="1">
      <x:c r="A54" s="3" t="str">
        <x:v>S113</x:v>
      </x:c>
      <x:c r="B54" s="3" t="str">
        <x:v>Engelberthumperdink</x:v>
      </x:c>
      <x:c r="C54" s="3" t="str">
        <x:v>Музейный двор и фон современной застройки</x:v>
      </x:c>
      <x:c r="D54" s="3" t="str"/>
      <x:c r="E54" s="3" t="str">
        <x:v>Карточка фотографии</x:v>
      </x:c>
      <x:c r="F54" s="3" t="str"/>
      <x:c r="G54" s="3" t="str">
        <x:v>https://commons.wikimedia.org/wiki/File:Sagdi-aby_house_(2021-04-26)_25.jpg</x:v>
      </x:c>
      <x:c r="H54" s="3" t="str"/>
      <x:c r="I54" s="3" t="str">
        <x:v>Новый Кырлай, Арский район</x:v>
      </x:c>
      <x:c r="J54" s="3" t="str">
        <x:v>2021-04-26</x:v>
      </x:c>
      <x:c r="K54" s="3" t="str">
        <x:v>Изображение и карточка</x:v>
      </x:c>
      <x:c r="L54" s="3" t="str">
        <x:v>Просмотрено изображение; метаданные использованы только в заполненных полях</x:v>
      </x:c>
      <x:c r="M54" s="3" t="str">
        <x:v>2026-09-14</x:v>
      </x:c>
      <x:c r="N54" s="3" t="str">
        <x:v>Соседние частные дворы почти не видны; не переносить солому в обычный дом 2015 г.</x:v>
      </x:c>
    </x:row>
    <x:row r="55" ht="96" customHeight="1">
      <x:c r="A55" s="3" t="str">
        <x:v>S114</x:v>
      </x:c>
      <x:c r="B55" s="3" t="str">
        <x:v>Engelberthumperdink</x:v>
      </x:c>
      <x:c r="C55" s="3" t="str">
        <x:v>Дверь и соломенная музейная кровля</x:v>
      </x:c>
      <x:c r="D55" s="3" t="str"/>
      <x:c r="E55" s="3" t="str">
        <x:v>Карточка фотографии</x:v>
      </x:c>
      <x:c r="F55" s="3" t="str"/>
      <x:c r="G55" s="3" t="str">
        <x:v>https://commons.wikimedia.org/wiki/File:Sagdi-aby_house_(2021-04-26)_30.jpg</x:v>
      </x:c>
      <x:c r="H55" s="3" t="str"/>
      <x:c r="I55" s="3" t="str">
        <x:v>Новый Кырлай, Арский район</x:v>
      </x:c>
      <x:c r="J55" s="3" t="str">
        <x:v>2021-04-26</x:v>
      </x:c>
      <x:c r="K55" s="3" t="str">
        <x:v>Изображение и карточка</x:v>
      </x:c>
      <x:c r="L55" s="3" t="str">
        <x:v>Просмотрено изображение; метаданные использованы только в заполненных полях</x:v>
      </x:c>
      <x:c r="M55" s="3" t="str">
        <x:v>2026-09-14</x:v>
      </x:c>
      <x:c r="N55" s="3" t="str">
        <x:v>Возраст и историческая точность реконструкции отдельно не установлены</x:v>
      </x:c>
    </x:row>
    <x:row r="56" ht="96" customHeight="1">
      <x:c r="A56" s="3" t="str">
        <x:v>S115</x:v>
      </x:c>
      <x:c r="B56" s="3" t="str">
        <x:v>Арсений Павлов</x:v>
      </x:c>
      <x:c r="C56" s="3" t="str">
        <x:v>Осенняя аллея и здание музея</x:v>
      </x:c>
      <x:c r="D56" s="3" t="str"/>
      <x:c r="E56" s="3" t="str">
        <x:v>Карточка фотографии</x:v>
      </x:c>
      <x:c r="F56" s="3" t="str"/>
      <x:c r="G56" s="3" t="str">
        <x:v>https://commons.wikimedia.org/wiki/File:Мемориальный_музей_Габдуллы_Тукая.jpg</x:v>
      </x:c>
      <x:c r="H56" s="3" t="str"/>
      <x:c r="I56" s="3" t="str">
        <x:v>Новый Кырлай, Арский район</x:v>
      </x:c>
      <x:c r="J56" s="3" t="str">
        <x:v>2016-10-08</x:v>
      </x:c>
      <x:c r="K56" s="3" t="str">
        <x:v>Изображение и карточка</x:v>
      </x:c>
      <x:c r="L56" s="3" t="str">
        <x:v>Просмотрено изображение; метаданные использованы только в заполненных полях</x:v>
      </x:c>
      <x:c r="M56" s="3" t="str">
        <x:v>2026-09-14</x:v>
      </x:c>
      <x:c r="N56" s="3" t="str">
        <x:v>Парковая посадка не представляет естественный лес; дата съемки не дата постройки</x:v>
      </x:c>
    </x:row>
    <x:row r="57" ht="96" customHeight="1">
      <x:c r="A57" s="3" t="str">
        <x:v>S116</x:v>
      </x:c>
      <x:c r="B57" s="3" t="str">
        <x:v>Engelberthumperdink</x:v>
      </x:c>
      <x:c r="C57" s="3" t="str">
        <x:v>Снеготаяние у музея</x:v>
      </x:c>
      <x:c r="D57" s="3" t="str"/>
      <x:c r="E57" s="3" t="str">
        <x:v>Карточка фотографии</x:v>
      </x:c>
      <x:c r="F57" s="3" t="str"/>
      <x:c r="G57" s="3" t="str">
        <x:v>https://commons.wikimedia.org/wiki/File:Gabdulla_Tukay_Museum,_New_Kyrlai_(2024-03-28)_01.jpg</x:v>
      </x:c>
      <x:c r="H57" s="3" t="str"/>
      <x:c r="I57" s="3" t="str">
        <x:v>Новый Кырлай, Арский район</x:v>
      </x:c>
      <x:c r="J57" s="3" t="str">
        <x:v>2024-03-28</x:v>
      </x:c>
      <x:c r="K57" s="3" t="str">
        <x:v>Изображение и карточка</x:v>
      </x:c>
      <x:c r="L57" s="3" t="str">
        <x:v>Просмотрено изображение; метаданные использованы только в заполненных полях</x:v>
      </x:c>
      <x:c r="M57" s="3" t="str">
        <x:v>2026-09-14</x:v>
      </x:c>
      <x:c r="N57" s="3" t="str">
        <x:v>Мощеная музейная площадь не аналог грунтового двора; это не повторный ракурс летнего водоема</x:v>
      </x:c>
    </x:row>
    <x:row r="58" ht="96" customHeight="1">
      <x:c r="A58" s="3" t="str">
        <x:v>S117</x:v>
      </x:c>
      <x:c r="B58" s="3" t="str">
        <x:v>Авторы и архивы указаны в подписях исходной статьи</x:v>
      </x:c>
      <x:c r="C58" s="3" t="str">
        <x:v>Исторические фотографии экспедиции: с. 338–339 S001</x:v>
      </x:c>
      <x:c r="D58" s="3" t="str"/>
      <x:c r="E58" s="3" t="str">
        <x:v>Иллюстрация в научной публикации</x:v>
      </x:c>
      <x:c r="F58" s="3" t="str"/>
      <x:c r="G58" s="3" t="str">
        <x:v>https://historicalethnology.org/wp-content/uploads/2021/12/Суслова.pdf#page=4</x:v>
      </x:c>
      <x:c r="H58" s="3" t="str"/>
      <x:c r="I58" s="3" t="str">
        <x:v>См. паспорт</x:v>
      </x:c>
      <x:c r="J58" s="3" t="str"/>
      <x:c r="K58" s="3" t="str">
        <x:v>Изображение и карточка</x:v>
      </x:c>
      <x:c r="L58" s="3" t="str">
        <x:v>Просмотрено изображение; метаданные использованы только в заполненных полях</x:v>
      </x:c>
      <x:c r="M58" s="3" t="str">
        <x:v>2026-09-14</x:v>
      </x:c>
      <x:c r="N58" s="3" t="str">
        <x:v>Снимки относятся к разным регионам и десятилетиям; не референс современного двора Кырлая</x:v>
      </x:c>
    </x:row>
    <x:row r="59" ht="96" customHeight="1">
      <x:c r="A59" s="3" t="str">
        <x:v>S118</x:v>
      </x:c>
      <x:c r="B59" s="3" t="str">
        <x:v>По подписи в статье; отдельно не установлено</x:v>
      </x:c>
      <x:c r="C59" s="3" t="str">
        <x:v>Историческая экспедиционная иллюстрация: с. 745 S002</x:v>
      </x:c>
      <x:c r="D59" s="3" t="str"/>
      <x:c r="E59" s="3" t="str">
        <x:v>Иллюстрация в научной публикации</x:v>
      </x:c>
      <x:c r="F59" s="3" t="str"/>
      <x:c r="G59" s="3" t="str">
        <x:v>https://historicalethnology.org/wp-content/uploads/2024/10/ИЭ_5_2024_741-758.pdf#page=5</x:v>
      </x:c>
      <x:c r="H59" s="3" t="str"/>
      <x:c r="I59" s="3" t="str">
        <x:v>См. паспорт</x:v>
      </x:c>
      <x:c r="J59" s="3" t="str">
        <x:v>1946 (описываемая экспедиция)</x:v>
      </x:c>
      <x:c r="K59" s="3" t="str">
        <x:v>Изображение и карточка</x:v>
      </x:c>
      <x:c r="L59" s="3" t="str">
        <x:v>Просмотрено изображение; метаданные использованы только в заполненных полях</x:v>
      </x:c>
      <x:c r="M59" s="3" t="str">
        <x:v>2026-09-14</x:v>
      </x:c>
      <x:c r="N59" s="3" t="str">
        <x:v>Не обмер современного объекта; индивидуальные архивные права не проверены</x:v>
      </x:c>
    </x:row>
  </x:sheetData>
  <x:pageMargins left="0.7" right="0.7" top="0.75" bottom="0.75" header="0.3" footer="0.3"/>
  <x:tableParts count="1">
    <x:tablePart xmlns:r="http://schemas.openxmlformats.org/officeDocument/2006/relationships" r:id="Rd0f93fbc2b96496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40" hidden="0" customWidth="1"/>
    <x:col min="3" max="3" width="23" hidden="0" customWidth="1"/>
    <x:col min="4" max="4" width="40" hidden="0" customWidth="1"/>
    <x:col min="5" max="5" width="23" hidden="0" customWidth="1"/>
    <x:col min="6" max="6" width="34" hidden="0" customWidth="1"/>
    <x:col min="7" max="7" width="34" hidden="0" customWidth="1"/>
    <x:col min="8" max="8" width="34" hidden="0" customWidth="1"/>
    <x:col min="9" max="9" width="40" hidden="0" customWidth="1"/>
  </x:cols>
  <x:sheetData>
    <x:row r="1" ht="42" customHeight="1">
      <x:c r="A1" s="8" t="str">
        <x:v>claim_id</x:v>
      </x:c>
      <x:c r="B1" s="8" t="str">
        <x:v>text</x:v>
      </x:c>
      <x:c r="C1" s="8" t="str">
        <x:v>evidence_status</x:v>
      </x:c>
      <x:c r="D1" s="8" t="str">
        <x:v>scope</x:v>
      </x:c>
      <x:c r="E1" s="8" t="str">
        <x:v>source_ids</x:v>
      </x:c>
      <x:c r="F1" s="8" t="str">
        <x:v>source_locators</x:v>
      </x:c>
      <x:c r="G1" s="8" t="str">
        <x:v>contradictions_or_limits</x:v>
      </x:c>
      <x:c r="H1" s="8" t="str">
        <x:v>production_application</x:v>
      </x:c>
      <x:c r="I1" s="8" t="str">
        <x:v>source_urls</x:v>
      </x:c>
    </x:row>
    <x:row r="2" ht="96" customHeight="1">
      <x:c r="A2" s="3" t="str">
        <x:v>C001</x:v>
      </x:c>
      <x:c r="B2" s="3" t="str">
        <x:v>Новый Кырлай расположен в верховьях Ии; энциклопедия приводит 521 жителя в 2015 г. и прямо указывает татарское население.</x:v>
      </x:c>
      <x:c r="C2" s="3" t="str">
        <x:v>Документировано</x:v>
      </x:c>
      <x:c r="D2" s="3" t="str">
        <x:v>Один населенный пункт, показатель 2015 г.</x:v>
      </x:c>
      <x:c r="E2" s="3" t="str">
        <x:v>["S015"]</x:v>
      </x:c>
      <x:c r="F2" s="3" t="str">
        <x:v>Разделы расположения и населения</x:v>
      </x:c>
      <x:c r="G2" s="3" t="str"/>
      <x:c r="H2" s="3" t="str">
        <x:v>Основной географический ориентир, не обязательная численность вымышленного села.</x:v>
      </x:c>
      <x:c r="I2" s="3" t="str">
        <x:v>https://tatarica.org/ru/razdely/municipalnye-obrazovaniya/municipalnye-rajony/arskij-rajon/novyj-kyrlaj</x:v>
      </x:c>
    </x:row>
    <x:row r="3" ht="96" customHeight="1">
      <x:c r="A3" s="3" t="str">
        <x:v>C002</x:v>
      </x:c>
      <x:c r="B3" s="3" t="str">
        <x:v>Лесистость бассейна Ии в энциклопедии дана как 4%.</x:v>
      </x:c>
      <x:c r="C3" s="3" t="str">
        <x:v>Документировано</x:v>
      </x:c>
      <x:c r="D3" s="3" t="str">
        <x:v>Весь бассейн; дата показателя не установлена</x:v>
      </x:c>
      <x:c r="E3" s="3" t="str">
        <x:v>["S016"]</x:v>
      </x:c>
      <x:c r="F3" s="3" t="str">
        <x:v>Основной текст</x:v>
      </x:c>
      <x:c r="G3" s="3" t="str">
        <x:v>Не доля леса в кадре или вокруг музея.</x:v>
      </x:c>
      <x:c r="H3" s="3" t="str">
        <x:v>Вводить поля, луга и разрывы между лесными фрагментами.</x:v>
      </x:c>
      <x:c r="I3" s="3" t="str">
        <x:v>https://tatarica.org/ru/razdely/priroda/gidrograficheskaya-set/reki/iya</x:v>
      </x:c>
    </x:row>
    <x:row r="4" ht="96" customHeight="1">
      <x:c r="A4" s="3" t="str">
        <x:v>C003</x:v>
      </x:c>
      <x:c r="B4" s="3" t="str">
        <x:v>В статье об Арском районе лесистость указана как 11,9%; описаны хвойные и смешанные лесные сообщества.</x:v>
      </x:c>
      <x:c r="C4" s="3" t="str">
        <x:v>Документировано</x:v>
      </x:c>
      <x:c r="D4" s="3" t="str">
        <x:v>Современный район, не исторический кантон</x:v>
      </x:c>
      <x:c r="E4" s="3" t="str">
        <x:v>["S017"]</x:v>
      </x:c>
      <x:c r="F4" s="3" t="str">
        <x:v>Природа</x:v>
      </x:c>
      <x:c r="G4" s="3" t="str">
        <x:v>11,9% района не равно 11,9 га музейного леса.</x:v>
      </x:c>
      <x:c r="H4" s="3" t="str">
        <x:v>Лес выбирать по одному локальному участку, не собирать все виды в каждом кадре.</x:v>
      </x:c>
      <x:c r="I4" s="3" t="str">
        <x:v>https://tatarica.org/ru/razdely/municipalnye-obrazovaniya/municipalnye-rajony/arskij-rajon/arskij-rajon-1</x:v>
      </x:c>
    </x:row>
    <x:row r="5" ht="96" customHeight="1">
      <x:c r="A5" s="3" t="str">
        <x:v>C004</x:v>
      </x:c>
      <x:c r="B5" s="3" t="str">
        <x:v>Дом Сагди-абыя восстановлен в 1976 г.; музейный комплекс имеет собственную строительную и ремонтную историю.</x:v>
      </x:c>
      <x:c r="C5" s="3" t="str">
        <x:v>Документировано</x:v>
      </x:c>
      <x:c r="D5" s="3" t="str">
        <x:v>Музеи Нового Кырлая</x:v>
      </x:c>
      <x:c r="E5" s="3" t="str">
        <x:v>["S015"]</x:v>
      </x:c>
      <x:c r="F5" s="3" t="str">
        <x:v>Музеи</x:v>
      </x:c>
      <x:c r="G5" s="3" t="str">
        <x:v>Старый образ дома не гарантирует подлинность каждого элемента.</x:v>
      </x:c>
      <x:c r="H5" s="3" t="str">
        <x:v>Музейные интерьеры применять как исторический слой, а не жилую норму 2015 г.</x:v>
      </x:c>
      <x:c r="I5" s="3" t="str">
        <x:v>https://tatarica.org/ru/razdely/municipalnye-obrazovaniya/municipalnye-rajony/arskij-rajon/novyj-kyrlaj</x:v>
      </x:c>
    </x:row>
    <x:row r="6" ht="96" customHeight="1">
      <x:c r="A6" s="3" t="str">
        <x:v>C005</x:v>
      </x:c>
      <x:c r="B6" s="3" t="str">
        <x:v>Музейная усадьба в Кошлауче реконструирована в 1996 г.</x:v>
      </x:c>
      <x:c r="C6" s="3" t="str">
        <x:v>Документировано</x:v>
      </x:c>
      <x:c r="D6" s="3" t="str">
        <x:v>Кошлауч, музей</x:v>
      </x:c>
      <x:c r="E6" s="3" t="str">
        <x:v>["S019"]</x:v>
      </x:c>
      <x:c r="F6" s="3" t="str">
        <x:v>Музей</x:v>
      </x:c>
      <x:c r="G6" s="3" t="str">
        <x:v>Современная дата фотографии не превращает реконструкцию в жилой интерьер.</x:v>
      </x:c>
      <x:c r="H6" s="3" t="str">
        <x:v>Не использовать ее полный комплект как современный дом.</x:v>
      </x:c>
      <x:c r="I6" s="3" t="str">
        <x:v>https://tatarica.org/ru/razdely/municipalnye-obrazovaniya/municipalnye-rajony/arskij-rajon/koshlauch</x:v>
      </x:c>
    </x:row>
    <x:row r="7" ht="96" customHeight="1">
      <x:c r="A7" s="3" t="str">
        <x:v>C006</x:v>
      </x:c>
      <x:c r="B7" s="3" t="str">
        <x:v>В Старом Менгере школа закрыта в 2011 г.; мечеть открыта в 2005 г.</x:v>
      </x:c>
      <x:c r="C7" s="3" t="str">
        <x:v>Документировано</x:v>
      </x:c>
      <x:c r="D7" s="3" t="str">
        <x:v>Старый Менгер; даты учреждений</x:v>
      </x:c>
      <x:c r="E7" s="3" t="str">
        <x:v>["S022"]</x:v>
      </x:c>
      <x:c r="F7" s="3" t="str">
        <x:v>Социальная инфраструктура</x:v>
      </x:c>
      <x:c r="G7" s="3" t="str"/>
      <x:c r="H7" s="3" t="str">
        <x:v>Малое село может иметь мечеть, но не действующую школу.</x:v>
      </x:c>
      <x:c r="I7" s="3" t="str">
        <x:v>https://tatarica.org/ru/razdely/municipalnye-obrazovaniya/municipalnye-rajony/atninskij/staryj-menger</x:v>
      </x:c>
    </x:row>
    <x:row r="8" ht="96" customHeight="1">
      <x:c r="A8" s="3" t="str">
        <x:v>C007</x:v>
      </x:c>
      <x:c r="B8" s="3" t="str">
        <x:v>Новое здание мечети и детсад в Туембаше относятся к 2015 г.; парк — к 2016 г.</x:v>
      </x:c>
      <x:c r="C8" s="3" t="str">
        <x:v>Документировано</x:v>
      </x:c>
      <x:c r="D8" s="3" t="str">
        <x:v>Туембаш</x:v>
      </x:c>
      <x:c r="E8" s="3" t="str">
        <x:v>["S024"]</x:v>
      </x:c>
      <x:c r="F8" s="3" t="str">
        <x:v>Культура и образование</x:v>
      </x:c>
      <x:c r="G8" s="3" t="str">
        <x:v>Не датирует аналогичные объекты в Кырлае.</x:v>
      </x:c>
      <x:c r="H8" s="3" t="str">
        <x:v>Датировать новые общественные пространства по объекту.</x:v>
      </x:c>
      <x:c r="I8" s="3" t="str">
        <x:v>https://tatarica.org/ru/razdely/municipalnye-obrazovaniya/municipalnye-rajony/kukmorskij-rajon-1/tuembash</x:v>
      </x:c>
    </x:row>
    <x:row r="9" ht="96" customHeight="1">
      <x:c r="A9" s="3" t="str">
        <x:v>C008</x:v>
      </x:c>
      <x:c r="B9" s="3" t="str">
        <x:v>Статья о Верхнем Куморе прямо называет удмуртское население в показателе 2017 г.</x:v>
      </x:c>
      <x:c r="C9" s="3" t="str">
        <x:v>Документировано</x:v>
      </x:c>
      <x:c r="D9" s="3" t="str">
        <x:v>Верхний Кумор, не все села Кукморского района</x:v>
      </x:c>
      <x:c r="E9" s="3" t="str">
        <x:v>["S025"]</x:v>
      </x:c>
      <x:c r="F9" s="3" t="str">
        <x:v>Население</x:v>
      </x:c>
      <x:c r="G9" s="3" t="str"/>
      <x:c r="H9" s="3" t="str">
        <x:v>Оставить село контрастом, не выдавать за татарский эталон.</x:v>
      </x:c>
      <x:c r="I9" s="3" t="str">
        <x:v>https://tatarica.org/ru/razdely/municipalnye-obrazovaniya/municipalnye-rajony/kukmorskij-rajon-1/verhnij-kumor</x:v>
      </x:c>
    </x:row>
    <x:row r="10" ht="96" customHeight="1">
      <x:c r="A10" s="3" t="str">
        <x:v>C009</x:v>
      </x:c>
      <x:c r="B10" s="3" t="str">
        <x:v>Состав Сабинского лесничества охватывает территории нескольких районов; дендрарий содержит интродуцированные растения.</x:v>
      </x:c>
      <x:c r="C10" s="3" t="str">
        <x:v>Документировано</x:v>
      </x:c>
      <x:c r="D10" s="3" t="str">
        <x:v>Хозяйственная территория лесничества</x:v>
      </x:c>
      <x:c r="E10" s="3" t="str">
        <x:v>["S027"]</x:v>
      </x:c>
      <x:c r="F10" s="3" t="str">
        <x:v>Состав и дендрологический сад</x:v>
      </x:c>
      <x:c r="G10" s="3" t="str">
        <x:v>Проценты пород не локальный квадрат леса.</x:v>
      </x:c>
      <x:c r="H10" s="3" t="str">
        <x:v>Не моделировать естественный лес по коллекции дендрария.</x:v>
      </x:c>
      <x:c r="I10" s="3" t="str">
        <x:v>https://tatarica.org/ru/razdely/priroda/poleznye-iskopaemye/sabinskoe-lesnichestvo</x:v>
      </x:c>
    </x:row>
    <x:row r="11" ht="96" customHeight="1">
      <x:c r="A11" s="3" t="str">
        <x:v>C010</x:v>
      </x:c>
      <x:c r="B11" s="3" t="str">
        <x:v>Палисадники датируются серединой XX в. в локальном описании альметьевской усадьбы.</x:v>
      </x:c>
      <x:c r="C11" s="3" t="str">
        <x:v>Документировано</x:v>
      </x:c>
      <x:c r="D11" s="3" t="str">
        <x:v>Только изложение S010 о данном регионе</x:v>
      </x:c>
      <x:c r="E11" s="3" t="str">
        <x:v>["S010"]</x:v>
      </x:c>
      <x:c r="F11" s="3" t="str">
        <x:v>Ихата</x:v>
      </x:c>
      <x:c r="G11" s="3" t="str">
        <x:v>Не дата появления палисадников у всех татар.</x:v>
      </x:c>
      <x:c r="H11" s="3" t="str">
        <x:v>Изучать современный палисадник отдельно от исторической схемы двора.</x:v>
      </x:c>
      <x:c r="I11" s="3" t="str">
        <x:v>https://almet-history.tatneft.ru/istoriya/traditsionnaya-kultura/remesla-i-narodnoe-iskusstvo/d-k/ihata?lang=ru</x:v>
      </x:c>
    </x:row>
    <x:row r="12" ht="96" customHeight="1">
      <x:c r="A12" s="3" t="str">
        <x:v>C011</x:v>
      </x:c>
      <x:c r="B12" s="3" t="str">
        <x:v>Исторические варианты включают дом с сенями и многокамерные решения; в XX в. описаны новые строительные типы.</x:v>
      </x:c>
      <x:c r="C12" s="3" t="str">
        <x:v>Документировано</x:v>
      </x:c>
      <x:c r="D12" s="3" t="str">
        <x:v>Альметьевский регион, историческое описание</x:v>
      </x:c>
      <x:c r="E12" s="3" t="str">
        <x:v>["S011"]</x:v>
      </x:c>
      <x:c r="F12" s="3" t="str">
        <x:v>Жилище народное</x:v>
      </x:c>
      <x:c r="G12" s="3" t="str"/>
      <x:c r="H12" s="3" t="str">
        <x:v>Оставить планировочную преемственность, не копируя старую инженерную систему.</x:v>
      </x:c>
      <x:c r="I12" s="3" t="str">
        <x:v>https://almet-history.tatneft.ru/istoriya/traditsionnaya-kultura/remesla-i-narodnoe-iskusstvo/d-k/zhilishche-narodnoe?lang=ru</x:v>
      </x:c>
    </x:row>
    <x:row r="13" ht="96" customHeight="1">
      <x:c r="A13" s="3" t="str">
        <x:v>C012</x:v>
      </x:c>
      <x:c r="B13" s="3" t="str">
        <x:v>В локальном историческом интерьере описаны сәке, разделяющая занавесь чаршау и хранение постельного текстиля.</x:v>
      </x:c>
      <x:c r="C13" s="3" t="str">
        <x:v>Документировано</x:v>
      </x:c>
      <x:c r="D13" s="3" t="str">
        <x:v>Альметьевский исторический материал</x:v>
      </x:c>
      <x:c r="E13" s="3" t="str">
        <x:v>["S012"]</x:v>
      </x:c>
      <x:c r="F13" s="3" t="str">
        <x:v>Интерьер</x:v>
      </x:c>
      <x:c r="G13" s="3" t="str">
        <x:v>Не установлен процент использования в 2015 г.</x:v>
      </x:c>
      <x:c r="H13" s="3" t="str">
        <x:v>Вводить отдельный сохраненный предмет только с биографией семьи.</x:v>
      </x:c>
      <x:c r="I13" s="3" t="str">
        <x:v>https://almet-history.tatneft.ru/istoriya/traditsionnaya-kultura/remesla-i-narodnoe-iskusstvo/d-k/interer?lang=ru</x:v>
      </x:c>
    </x:row>
    <x:row r="14" ht="96" customHeight="1">
      <x:c r="A14" s="3" t="str">
        <x:v>C013</x:v>
      </x:c>
      <x:c r="B14" s="3" t="str">
        <x:v>Автореферат Сулеймановой рассматривает изменение интерьера под воздействием промышленной мебели во второй половине XX в.</x:v>
      </x:c>
      <x:c r="C14" s="3" t="str">
        <x:v>Документировано</x:v>
      </x:c>
      <x:c r="D14" s="3" t="str">
        <x:v>Вывод автора по широкому Волго-Уральскому материалу</x:v>
      </x:c>
      <x:c r="E14" s="3" t="str">
        <x:v>["S008"]</x:v>
      </x:c>
      <x:c r="F14" s="3" t="str">
        <x:v>Положения и заключение автореферата</x:v>
      </x:c>
      <x:c r="G14" s="3" t="str">
        <x:v>Полная диссертация и приложения не прочитаны.</x:v>
      </x:c>
      <x:c r="H14" s="3" t="str">
        <x:v>Смешанный комплект вещей вероятнее цельной музейной экспозиции; конкретный комплект все равно предложение.</x:v>
      </x:c>
      <x:c r="I14" s="3" t="str">
        <x:v>https://cheloveknauka.com/interier-zhilischa-volgo-uralskih-tatar-razvitie-i-etnokulturnaya-spetsifika</x:v>
      </x:c>
    </x:row>
    <x:row r="15" ht="96" customHeight="1">
      <x:c r="A15" s="3" t="str">
        <x:v>C014</x:v>
      </x:c>
      <x:c r="B15" s="3" t="str">
        <x:v>Шкляева разбирает технологию и композицию домовой резьбы, а происхождение некоторых форм интерпретирует через широкие исторические связи.</x:v>
      </x:c>
      <x:c r="C15" s="3" t="str">
        <x:v>Документировано</x:v>
      </x:c>
      <x:c r="D15" s="3" t="str">
        <x:v>Авторская научная интерпретация, Среднее Поволжье</x:v>
      </x:c>
      <x:c r="E15" s="3" t="str">
        <x:v>["S007"]</x:v>
      </x:c>
      <x:c r="F15" s="3" t="str">
        <x:v>С. 148–154</x:v>
      </x:c>
      <x:c r="G15" s="3" t="str">
        <x:v>Значения и генеалогия мотивов дискуссионны.</x:v>
      </x:c>
      <x:c r="H15" s="3" t="str">
        <x:v>Воспроизводить конструкцию и ритм; не приписывать универсальные обереговые значения.</x:v>
      </x:c>
      <x:c r="I15" s="3" t="str">
        <x:v>https://kpfu.ru/portal/docs/F_715431455/4_02.pdf</x:v>
      </x:c>
    </x:row>
    <x:row r="16" ht="96" customHeight="1">
      <x:c r="A16" s="3" t="str">
        <x:v>C015</x:v>
      </x:c>
      <x:c r="B16" s="3" t="str">
        <x:v>На V001 различимы секционное ограждение, металлическая калитка, кирпичная стойка и современная кровля.</x:v>
      </x:c>
      <x:c r="C16" s="3" t="str">
        <x:v>Наблюдается</x:v>
      </x:c>
      <x:c r="D16" s="3" t="str">
        <x:v>Один ракурс улицы 26.04.2021</x:v>
      </x:c>
      <x:c r="E16" s="3" t="str">
        <x:v>["S101"]</x:v>
      </x:c>
      <x:c r="F16" s="3" t="str">
        <x:v>V001</x:v>
      </x:c>
      <x:c r="G16" s="3" t="str">
        <x:v>Материал секций предположительно формованный минеральный; точный состав не определен.</x:v>
      </x:c>
      <x:c r="H16" s="3" t="str">
        <x:v>Не делать все ограждения деревянными или резными.</x:v>
      </x:c>
      <x:c r="I16" s="3" t="str">
        <x:v>https://commons.wikimedia.org/wiki/File:New_Kyrlai_(2021-04-26)_01.jpg</x:v>
      </x:c>
    </x:row>
    <x:row r="17" ht="96" customHeight="1">
      <x:c r="A17" s="3" t="str">
        <x:v>C016</x:v>
      </x:c>
      <x:c r="B17" s="3" t="str">
        <x:v>На V001 видна влажная придорожная полоса и не облиственные ветви.</x:v>
      </x:c>
      <x:c r="C17" s="3" t="str">
        <x:v>Наблюдается</x:v>
      </x:c>
      <x:c r="D17" s="3" t="str">
        <x:v>Один ракурс, конец апреля 2021</x:v>
      </x:c>
      <x:c r="E17" s="3" t="str">
        <x:v>["S101"]</x:v>
      </x:c>
      <x:c r="F17" s="3" t="str">
        <x:v>V001</x:v>
      </x:c>
      <x:c r="G17" s="3" t="str">
        <x:v>Нет масштабной линейки; нельзя установить ширину канавы.</x:v>
      </x:c>
      <x:c r="H17" s="3" t="str">
        <x:v>Показать неоднородную сухость покрытия и границу талой воды.</x:v>
      </x:c>
      <x:c r="I17" s="3" t="str">
        <x:v>https://commons.wikimedia.org/wiki/File:New_Kyrlai_(2021-04-26)_01.jpg</x:v>
      </x:c>
    </x:row>
    <x:row r="18" ht="96" customHeight="1">
      <x:c r="A18" s="3" t="str">
        <x:v>C017</x:v>
      </x:c>
      <x:c r="B18" s="3" t="str">
        <x:v>На V002 видны белоствольные деревья, летняя листва и спокойная поверхность водоема.</x:v>
      </x:c>
      <x:c r="C18" s="3" t="str">
        <x:v>Наблюдается</x:v>
      </x:c>
      <x:c r="D18" s="3" t="str">
        <x:v>Новый Кырлай, 15.07.2014</x:v>
      </x:c>
      <x:c r="E18" s="3" t="str">
        <x:v>["S102"]</x:v>
      </x:c>
      <x:c r="F18" s="3" t="str">
        <x:v>V002</x:v>
      </x:c>
      <x:c r="G18" s="3" t="str">
        <x:v>Определение дерева до рода Betula; точное название водоема не установлено.</x:v>
      </x:c>
      <x:c r="H18" s="3" t="str">
        <x:v>Береговая сцена без неподтвержденных точных видов и глубин.</x:v>
      </x:c>
      <x:c r="I18" s="3" t="str">
        <x:v>https://commons.wikimedia.org/wiki/File:2014-07-15_14-02-02_Тукай-Кырлай.jpg</x:v>
      </x:c>
    </x:row>
    <x:row r="19" ht="96" customHeight="1">
      <x:c r="A19" s="3" t="str">
        <x:v>C018</x:v>
      </x:c>
      <x:c r="B19" s="3" t="str">
        <x:v>На V003 три подушки образуют вертикальную стопку, ткани различаются.</x:v>
      </x:c>
      <x:c r="C19" s="3" t="str">
        <x:v>Наблюдается</x:v>
      </x:c>
      <x:c r="D19" s="3" t="str">
        <x:v>Музейная экспозиция 26.04.2021</x:v>
      </x:c>
      <x:c r="E19" s="3" t="str">
        <x:v>["S103"]</x:v>
      </x:c>
      <x:c r="F19" s="3" t="str">
        <x:v>V003</x:v>
      </x:c>
      <x:c r="G19" s="3" t="str">
        <x:v>Не действующее хозяйство и не доказательство материалов волокон.</x:v>
      </x:c>
      <x:c r="H19" s="3" t="str">
        <x:v>Использовать принцип складывания текстиля, но не копировать весь музей.</x:v>
      </x:c>
      <x:c r="I19" s="3" t="str">
        <x:v>https://commons.wikimedia.org/wiki/File:Sagdi-aby_house_interior_(2021-04-26)_05.jpg</x:v>
      </x:c>
    </x:row>
    <x:row r="20" ht="96" customHeight="1">
      <x:c r="A20" s="3" t="str">
        <x:v>C019</x:v>
      </x:c>
      <x:c r="B20" s="3" t="str">
        <x:v>На V004 печь, текстильное разделение и предметы исторического быта находятся в современной музейной экспозиции.</x:v>
      </x:c>
      <x:c r="C20" s="3" t="str">
        <x:v>Наблюдается</x:v>
      </x:c>
      <x:c r="D20" s="3" t="str">
        <x:v>Дом-музей Сагди-абыя, 2021</x:v>
      </x:c>
      <x:c r="E20" s="3" t="str">
        <x:v>["S104"]</x:v>
      </x:c>
      <x:c r="F20" s="3" t="str">
        <x:v>V004</x:v>
      </x:c>
      <x:c r="G20" s="3" t="str">
        <x:v>Полный план и функции экспозиционных предметов не извлечены.</x:v>
      </x:c>
      <x:c r="H20" s="3" t="str">
        <x:v>Печь проектировать по ее работе, если она выбрана для H01, а не как универсальный центр H02.</x:v>
      </x:c>
      <x:c r="I20" s="3" t="str">
        <x:v>https://commons.wikimedia.org/wiki/File:Sagdi-aby_house_interior_(2021-04-26)_21.jpg</x:v>
      </x:c>
    </x:row>
    <x:row r="21" ht="96" customHeight="1">
      <x:c r="A21" s="3" t="str">
        <x:v>C020</x:v>
      </x:c>
      <x:c r="B21" s="3" t="str">
        <x:v>Сагдиева описывает неодновременные ремонты дорог, освещения и водоснабжения в 2013–2023 гг.</x:v>
      </x:c>
      <x:c r="C21" s="3" t="str">
        <x:v>Документировано</x:v>
      </x:c>
      <x:c r="D21" s="3" t="str">
        <x:v>16 интервью в пяти муниципальных образованиях; не все жители Татарстана</x:v>
      </x:c>
      <x:c r="E21" s="3" t="str">
        <x:v>["S014"]</x:v>
      </x:c>
      <x:c r="F21" s="3" t="str">
        <x:v>С. 264, 267–269</x:v>
      </x:c>
      <x:c r="G21" s="3" t="str">
        <x:v>Выборка управленцев и активистов; нет дат ремонта Кырлая.</x:v>
      </x:c>
      <x:c r="H21" s="3" t="str">
        <x:v>Уточнять год для тротуара, светильника и водопровода отдельно.</x:v>
      </x:c>
      <x:c r="I21" s="3" t="str">
        <x:v>https://historicalethnology.org/news/2024-t9-n2-10/</x:v>
      </x:c>
    </x:row>
    <x:row r="22" ht="96" customHeight="1">
      <x:c r="A22" s="3" t="str">
        <x:v>C021</x:v>
      </x:c>
      <x:c r="B22" s="3" t="str">
        <x:v>Ханипова сопоставляет разные семейные возможности и сохранение советских вещей по интервью и семейным архивам.</x:v>
      </x:c>
      <x:c r="C22" s="3" t="str">
        <x:v>Документировано</x:v>
      </x:c>
      <x:c r="D22" s="3" t="str">
        <x:v>Конкретные семьи; события 1960–1970-х и поздние воспоминания</x:v>
      </x:c>
      <x:c r="E22" s="3" t="str">
        <x:v>["S013"]</x:v>
      </x:c>
      <x:c r="F22" s="3" t="str">
        <x:v>С. 189, 191, 194–195</x:v>
      </x:c>
      <x:c r="G22" s="3" t="str">
        <x:v>Память и семейная самооценка не нейтральная статистика.</x:v>
      </x:c>
      <x:c r="H22" s="3" t="str">
        <x:v>Создать разные биографии предметов; свадебный сувенир может остаться в более позднем доме.</x:v>
      </x:c>
      <x:c r="I22" s="3" t="str">
        <x:v>https://historicalethnology.org/news/2024-t9-n2-4/</x:v>
      </x:c>
    </x:row>
    <x:row r="23" ht="96" customHeight="1">
      <x:c r="A23" s="3" t="str">
        <x:v>C022</x:v>
      </x:c>
      <x:c r="B23" s="3" t="str">
        <x:v>По официальной истории ТНВ-Татарстан начал вещание 26.08.2002, ТНВ-Планета — 15.06.2012.</x:v>
      </x:c>
      <x:c r="C23" s="3" t="str">
        <x:v>Документировано</x:v>
      </x:c>
      <x:c r="D23" s="3" t="str">
        <x:v>Даты вещателя</x:v>
      </x:c>
      <x:c r="E23" s="3" t="str">
        <x:v>["S036"]</x:v>
      </x:c>
      <x:c r="F23" s="3" t="str">
        <x:v>История каналов</x:v>
      </x:c>
      <x:c r="G23" s="3" t="str">
        <x:v>Не доказательство приема в конкретном доме.</x:v>
      </x:c>
      <x:c r="H23" s="3" t="str">
        <x:v>Кандидаты медиасреды 2015 г. после выбора телевизионного приема.</x:v>
      </x:c>
      <x:c r="I23" s="3" t="str">
        <x:v>https://tnv.ru/about/</x:v>
      </x:c>
    </x:row>
    <x:row r="24" ht="96" customHeight="1">
      <x:c r="A24" s="3" t="str">
        <x:v>C023</x:v>
      </x:c>
      <x:c r="B24" s="3" t="str">
        <x:v>По официальной истории Шаян ТВ начал вещание 12.11.2018.</x:v>
      </x:c>
      <x:c r="C24" s="3" t="str">
        <x:v>Документировано</x:v>
      </x:c>
      <x:c r="D24" s="3" t="str">
        <x:v>Дата вещателя</x:v>
      </x:c>
      <x:c r="E24" s="3" t="str">
        <x:v>["S036"]</x:v>
      </x:c>
      <x:c r="F24" s="3" t="str">
        <x:v>Шаян ТВ</x:v>
      </x:c>
      <x:c r="G24" s="3" t="str"/>
      <x:c r="H24" s="3" t="str">
        <x:v>Исключить эфир Шаян ТВ из основной сцены 2015 г.</x:v>
      </x:c>
      <x:c r="I24" s="3" t="str">
        <x:v>https://tnv.ru/about/</x:v>
      </x:c>
    </x:row>
    <x:row r="25" ht="96" customHeight="1">
      <x:c r="A25" s="3" t="str">
        <x:v>C024</x:v>
      </x:c>
      <x:c r="B25" s="3" t="str">
        <x:v>Таткультресурсцентр создан в 2020 г. в результате реорганизации, включавшей прежний центр традиционной культуры.</x:v>
      </x:c>
      <x:c r="C25" s="3" t="str">
        <x:v>Документировано</x:v>
      </x:c>
      <x:c r="D25" s="3" t="str">
        <x:v>Институциональная история</x:v>
      </x:c>
      <x:c r="E25" s="3" t="str">
        <x:v>["S035"]</x:v>
      </x:c>
      <x:c r="F25" s="3" t="str">
        <x:v>Об учреждении</x:v>
      </x:c>
      <x:c r="G25" s="3" t="str"/>
      <x:c r="H25" s="3" t="str">
        <x:v>Искать старые записи также под прежним названием.</x:v>
      </x:c>
      <x:c r="I25" s="3" t="str">
        <x:v>https://tatcultresurs.ru/gbu-tatkultresurscentr</x:v>
      </x:c>
    </x:row>
    <x:row r="26" ht="96" customHeight="1">
      <x:c r="A26" s="3" t="str">
        <x:v>C025</x:v>
      </x:c>
      <x:c r="B26" s="3" t="str">
        <x:v>Энциклопедия Шурале объединяет варианты с разным обликом, включая волосатую мужскую и женскую формы.</x:v>
      </x:c>
      <x:c r="C26" s="3" t="str">
        <x:v>Документировано</x:v>
      </x:c>
      <x:c r="D26" s="3" t="str">
        <x:v>Вторичный научный обзор</x:v>
      </x:c>
      <x:c r="E26" s="3" t="str">
        <x:v>["S030"]</x:v>
      </x:c>
      <x:c r="F26" s="3" t="str">
        <x:v>Внешность</x:v>
      </x:c>
      <x:c r="G26" s="3" t="str">
        <x:v>Паспорта первичных записей не изучены.</x:v>
      </x:c>
      <x:c r="H26" s="3" t="str">
        <x:v>Выбирать один вариант; не собирать все признаки автоматически.</x:v>
      </x:c>
      <x:c r="I26" s="3" t="str">
        <x:v>https://tatarica.org/ru/razdely/narody/tatary/verovaniya-i-mifologiya/mifologicheskie-personazhi/shurale</x:v>
      </x:c>
    </x:row>
    <x:row r="27" ht="96" customHeight="1">
      <x:c r="A27" s="3" t="str">
        <x:v>C026</x:v>
      </x:c>
      <x:c r="B27" s="3" t="str">
        <x:v>В тексте Тукая Шүрәле описан нагим и очень худым, с длинными пальцами и рогом.</x:v>
      </x:c>
      <x:c r="C27" s="3" t="str">
        <x:v>Документировано</x:v>
      </x:c>
      <x:c r="D27" s="3" t="str">
        <x:v>Литературное произведение 1907 г.</x:v>
      </x:c>
      <x:c r="E27" s="3" t="str">
        <x:v>["S031"]</x:v>
      </x:c>
      <x:c r="F27" s="3" t="str">
        <x:v>Часть IV, страница файла 3</x:v>
      </x:c>
      <x:c r="G27" s="3" t="str">
        <x:v>Эти строки не описывают шерстяной покров; современный набор не критическое издание.</x:v>
      </x:c>
      <x:c r="H27" s="3" t="str">
        <x:v>Тонкая антропоморфная пластика — литературно обоснованный вариант.</x:v>
      </x:c>
      <x:c r="I27" s="3" t="str">
        <x:v>https://tugan-tel.tatar/adabiyat/shigriyat/Gabdulla_Tukai/shurale.pdf</x:v>
      </x:c>
    </x:row>
    <x:row r="28" ht="96" customHeight="1">
      <x:c r="A28" s="3" t="str">
        <x:v>C027</x:v>
      </x:c>
      <x:c r="B28" s="3" t="str">
        <x:v>В поэме Тукая присутствуют приглашение к щекотке, защемление пальцев и словесная уловка с Былтыр.</x:v>
      </x:c>
      <x:c r="C28" s="3" t="str">
        <x:v>Документировано</x:v>
      </x:c>
      <x:c r="D28" s="3" t="str">
        <x:v>Одна литературная версия</x:v>
      </x:c>
      <x:c r="E28" s="3" t="str">
        <x:v>["S031"]</x:v>
      </x:c>
      <x:c r="F28" s="3" t="str">
        <x:v>Части IV–V</x:v>
      </x:c>
      <x:c r="G28" s="3" t="str">
        <x:v>Не обязательно каждое фольклорное сказание содержит все три мотива.</x:v>
      </x:c>
      <x:c r="H28" s="3" t="str">
        <x:v>Пальцы и способность говорить важнее стандартных когтей лесного монстра.</x:v>
      </x:c>
      <x:c r="I28" s="3" t="str">
        <x:v>https://tugan-tel.tatar/adabiyat/shigriyat/Gabdulla_Tukai/shurale.pdf</x:v>
      </x:c>
    </x:row>
    <x:row r="29" ht="96" customHeight="1">
      <x:c r="A29" s="3" t="str">
        <x:v>C028</x:v>
      </x:c>
      <x:c r="B29" s="3" t="str">
        <x:v>В энциклопедии описан отдельный сюжет взаимодействия Шурале с лошадью; в прочитанной поэме такого эпизода нападения на лошадь нет.</x:v>
      </x:c>
      <x:c r="C29" s="3" t="str">
        <x:v>Документировано</x:v>
      </x:c>
      <x:c r="D29" s="3" t="str">
        <x:v>Сопоставление S030 и S031</x:v>
      </x:c>
      <x:c r="E29" s="3" t="str">
        <x:v>["S030", "S031"]</x:v>
      </x:c>
      <x:c r="F29" s="3" t="str">
        <x:v>Сюжетные типы; поэма целиком</x:v>
      </x:c>
      <x:c r="G29" s="3" t="str">
        <x:v>Присутствие лошади у дровосека не равно мотиву ночной езды Шурале.</x:v>
      </x:c>
      <x:c r="H29" s="3" t="str">
        <x:v>Не выдавать эпизод с лошадью за сцену Тукая.</x:v>
      </x:c>
      <x:c r="I29" s="3" t="str">
        <x:v>https://tatarica.org/ru/razdely/narody/tatary/verovaniya-i-mifologiya/mifologicheskie-personazhi/shurale
https://tugan-tel.tatar/adabiyat/shigriyat/Gabdulla_Tukai/shurale.pdf</x:v>
      </x:c>
    </x:row>
    <x:row r="30" ht="96" customHeight="1">
      <x:c r="A30" s="3" t="str">
        <x:v>C029</x:v>
      </x:c>
      <x:c r="B30" s="3" t="str">
        <x:v>Публикация о кряшенах передает материал Максимова 1867 г. с мотивами, известными до поэмы Тукая.</x:v>
      </x:c>
      <x:c r="C30" s="3" t="str">
        <x:v>Документировано</x:v>
      </x:c>
      <x:c r="D30" s="3" t="str">
        <x:v>Опосредованный пересказ исторической записи</x:v>
      </x:c>
      <x:c r="E30" s="3" t="str">
        <x:v>["S033"]</x:v>
      </x:c>
      <x:c r="F30" s="3" t="str">
        <x:v>Раздел о Максимове</x:v>
      </x:c>
      <x:c r="G30" s="3" t="str">
        <x:v>Оригинал 1867 г. не просмотрен; локализация и редакторская обработка не восстановлены.</x:v>
      </x:c>
      <x:c r="H30" s="3" t="str">
        <x:v>Указывать уровень посредничества; не объявлять Тукая изобретателем всего сюжета.</x:v>
      </x:c>
      <x:c r="I30" s="3" t="str">
        <x:v>https://tuganaylar.ru/news/etnografichsekaya-mozaika/persona-shurale-v-verovaniyah-kryashen</x:v>
      </x:c>
    </x:row>
    <x:row r="31" ht="96" customHeight="1">
      <x:c r="A31" s="3" t="str">
        <x:v>C030</x:v>
      </x:c>
      <x:c r="B31" s="3" t="str">
        <x:v>В пересказе Максимова названия Урман эясе и Шурале перечисляются отдельно.</x:v>
      </x:c>
      <x:c r="C31" s="3" t="str">
        <x:v>Документировано</x:v>
      </x:c>
      <x:c r="D31" s="3" t="str">
        <x:v>Один переданный источник о кряшенских верованиях</x:v>
      </x:c>
      <x:c r="E31" s="3" t="str">
        <x:v>["S033"]</x:v>
      </x:c>
      <x:c r="F31" s="3" t="str">
        <x:v>Перечень персонажей</x:v>
      </x:c>
      <x:c r="G31" s="3" t="str">
        <x:v>Это не доказательство полной раздельности персонажей во всех традициях.</x:v>
      </x:c>
      <x:c r="H31" s="3" t="str">
        <x:v>Не объединять имена автоматически и не строить универсальную классификацию.</x:v>
      </x:c>
      <x:c r="I31" s="3" t="str">
        <x:v>https://tuganaylar.ru/news/etnografichsekaya-mozaika/persona-shurale-v-verovaniyah-kryashen</x:v>
      </x:c>
    </x:row>
    <x:row r="32" ht="96" customHeight="1">
      <x:c r="A32" s="3" t="str">
        <x:v>C031</x:v>
      </x:c>
      <x:c r="B32" s="3" t="str">
        <x:v>Точные ширины улиц и участков современной основной модели не установлены.</x:v>
      </x:c>
      <x:c r="C32" s="3" t="str">
        <x:v>Не установлено</x:v>
      </x:c>
      <x:c r="D32" s="3" t="str">
        <x:v>Новый и Старый Кырлай, 2005–2026</x:v>
      </x:c>
      <x:c r="E32" s="3" t="str">
        <x:v>["S015", "S018", "S101"]</x:v>
      </x:c>
      <x:c r="F32" s="3" t="str">
        <x:v>Нет доступного обмера или снимка с проверяемым масштабом</x:v>
      </x:c>
      <x:c r="G32" s="3" t="str"/>
      <x:c r="H32" s="3" t="str">
        <x:v>Все численные параметры планов ниже — проектные, не этнографические замеры.</x:v>
      </x:c>
      <x:c r="I32" s="3" t="str">
        <x:v>https://tatarica.org/ru/razdely/municipalnye-obrazovaniya/municipalnye-rajony/arskij-rajon/novyj-kyrlaj
https://tatarica.org/ru/razdely/municipalnye-obrazovaniya/municipalnye-rajony/arskij-rajon/staryj-kyrlaj
https://commons.wikimedia.org/wiki/File:New_Kyrlai_(2021-04-26)_01.jpg</x:v>
      </x:c>
    </x:row>
    <x:row r="33" ht="96" customHeight="1">
      <x:c r="A33" s="3" t="str">
        <x:v>C032</x:v>
      </x:c>
      <x:c r="B33" s="3" t="str">
        <x:v>Прямо обследованных действующих жилых интерьеров основной модели не получено.</x:v>
      </x:c>
      <x:c r="C33" s="3" t="str">
        <x:v>Не установлено</x:v>
      </x:c>
      <x:c r="D33" s="3" t="str">
        <x:v>Частные дома верховьев Ии в 2010-х</x:v>
      </x:c>
      <x:c r="E33" s="3" t="str">
        <x:v>["S008", "S103", "S104"]</x:v>
      </x:c>
      <x:c r="F33" s="3" t="str"/>
      <x:c r="G33" s="3" t="str">
        <x:v>Музейные кадры и исторический автореферат не закрывают пробел.</x:v>
      </x:c>
      <x:c r="H33" s="3" t="str">
        <x:v>Интерьерные комплекты H01–H05 — согласованные предложения с полевой проверкой.</x:v>
      </x:c>
      <x:c r="I33" s="3" t="str">
        <x:v>https://cheloveknauka.com/interier-zhilischa-volgo-uralskih-tatar-razvitie-i-etnokulturnaya-spetsifika
https://commons.wikimedia.org/wiki/File:Sagdi-aby_house_interior_(2021-04-26)_05.jpg
https://commons.wikimedia.org/wiki/File:Sagdi-aby_house_interior_(2021-04-26)_21.jpg</x:v>
      </x:c>
    </x:row>
    <x:row r="34" ht="96" customHeight="1">
      <x:c r="A34" s="3" t="str">
        <x:v>C033</x:v>
      </x:c>
      <x:c r="B34" s="3" t="str">
        <x:v>Верифицированных прослушанных полевых аудиозаписей в пакете нет.</x:v>
      </x:c>
      <x:c r="C34" s="3" t="str">
        <x:v>Не установлено</x:v>
      </x:c>
      <x:c r="D34" s="3" t="str">
        <x:v>Звуки основной модели</x:v>
      </x:c>
      <x:c r="E34" s="3" t="str">
        <x:v>["S035", "S037"]</x:v>
      </x:c>
      <x:c r="F34" s="3" t="str"/>
      <x:c r="G34" s="3" t="str"/>
      <x:c r="H34" s="3" t="str">
        <x:v>Не выдавать производственный звуковой атлас за акустическую съемку; таймкоды оставить null.</x:v>
      </x:c>
      <x:c r="I34" s="3" t="str">
        <x:v>https://tatcultresurs.ru/gbu-tatkultresurscentr
https://www.youtube.com/watch?v=jgc8aln7CI8</x:v>
      </x:c>
    </x:row>
    <x:row r="35" ht="96" customHeight="1">
      <x:c r="A35" s="3" t="str">
        <x:v>C034</x:v>
      </x:c>
      <x:c r="B35" s="3" t="str">
        <x:v>Внутренний ориентир 2015 ± 1 год выбран для согласования предметов; диапазон проекта 2005–2026 не изменен.</x:v>
      </x:c>
      <x:c r="C35" s="3" t="str">
        <x:v>Предложено для игры</x:v>
      </x:c>
      <x:c r="D35" s="3" t="str">
        <x:v>Вымышленная деревня</x:v>
      </x:c>
      <x:c r="E35" s="3" t="str">
        <x:v>["S015", "S102", "S115", "S014", "S036"]</x:v>
      </x:c>
      <x:c r="F35" s="3" t="str"/>
      <x:c r="G35" s="3" t="str">
        <x:v>Референс 2021 г. нельзя автоматически переносить в 2015.</x:v>
      </x:c>
      <x:c r="H35" s="3" t="str">
        <x:v>Дата должна храниться в метаданных каждой сцены, даже если не видна игроку.</x:v>
      </x:c>
      <x:c r="I35" s="3" t="str">
        <x:v>https://tatarica.org/ru/razdely/municipalnye-obrazovaniya/municipalnye-rajony/arskij-rajon/novyj-kyrlaj
https://commons.wikimedia.org/wiki/File:2014-07-15_14-02-02_Тукай-Кырлай.jpg
https://commons.wikimedia.org/wiki/File:Мемориальный_музей_Габдуллы_Тукая.jpg
https://historicalethnology.org/news/2024-t9-n2-10/
https://tnv.ru/about/</x:v>
      </x:c>
    </x:row>
    <x:row r="36" ht="96" customHeight="1">
      <x:c r="A36" s="3" t="str">
        <x:v>C035</x:v>
      </x:c>
      <x:c r="B36" s="3" t="str">
        <x:v>Основная пространственная модель — вымышленное село верховьев Ии; Новый и Старый Кырлай совместимы как географическая пара.</x:v>
      </x:c>
      <x:c r="C36" s="3" t="str">
        <x:v>Предложено для игры</x:v>
      </x:c>
      <x:c r="D36" s="3" t="str">
        <x:v>Не копия реального населенного пункта</x:v>
      </x:c>
      <x:c r="E36" s="3" t="str">
        <x:v>["S015", "S016", "S018"]</x:v>
      </x:c>
      <x:c r="F36" s="3" t="str"/>
      <x:c r="G36" s="3" t="str">
        <x:v>Кошлауч — сравнительный масштаб, не тот же водосбор.</x:v>
      </x:c>
      <x:c r="H36" s="3" t="str">
        <x:v>Сохранить открытый сельский ландшафт, не копировать музейный туристический центр.</x:v>
      </x:c>
      <x:c r="I36" s="3" t="str">
        <x:v>https://tatarica.org/ru/razdely/municipalnye-obrazovaniya/municipalnye-rajony/arskij-rajon/novyj-kyrlaj
https://tatarica.org/ru/razdely/priroda/gidrograficheskaya-set/reki/iya
https://tatarica.org/ru/razdely/municipalnye-obrazovaniya/municipalnye-rajony/arskij-rajon/staryj-kyrlaj</x:v>
      </x:c>
    </x:row>
    <x:row r="37" ht="96" customHeight="1">
      <x:c r="A37" s="3" t="str">
        <x:v>C036</x:v>
      </x:c>
      <x:c r="B37" s="3" t="str">
        <x:v>Улица ST01 имеет проектный профиль 16 м между ограждениями и 22 м между фасадами при палисадниках по 3 м.</x:v>
      </x:c>
      <x:c r="C37" s="3" t="str">
        <x:v>Предложено для игры</x:v>
      </x:c>
      <x:c r="D37" s="3" t="str">
        <x:v>Только проект ST01</x:v>
      </x:c>
      <x:c r="E37" s="3" t="str">
        <x:v>[]</x:v>
      </x:c>
      <x:c r="F37" s="3" t="str"/>
      <x:c r="G37" s="3" t="str">
        <x:v>Ни норматив, ни результат обмера.</x:v>
      </x:c>
      <x:c r="H37" s="3" t="str">
        <x:v>4,5 м дорога + 2×0,75 обочины + 2×1 канавы + 2×4 зеленые полосы.</x:v>
      </x:c>
      <x:c r="I37" s="3" t="str"/>
    </x:row>
    <x:row r="38" ht="96" customHeight="1">
      <x:c r="A38" s="3" t="str">
        <x:v>C037</x:v>
      </x:c>
      <x:c r="B38" s="3" t="str">
        <x:v>H02 проектируется на участке 22×55 м с корпусом дома 10×8 м и боковым входом через сени.</x:v>
      </x:c>
      <x:c r="C38" s="3" t="str">
        <x:v>Предложено для игры</x:v>
      </x:c>
      <x:c r="D38" s="3" t="str">
        <x:v>Только H02</x:v>
      </x:c>
      <x:c r="E38" s="3" t="str">
        <x:v>["S011", "S013"]</x:v>
      </x:c>
      <x:c r="F38" s="3" t="str"/>
      <x:c r="G38" s="3" t="str">
        <x:v>Современный план не извлечен из исторических источников.</x:v>
      </x:c>
      <x:c r="H38" s="3" t="str">
        <x:v>Согласовать наружные проемы с комнатами и свободный подъезд к сараю.</x:v>
      </x:c>
      <x:c r="I38" s="3" t="str">
        <x:v>https://almet-history.tatneft.ru/istoriya/traditsionnaya-kultura/remesla-i-narodnoe-iskusstvo/d-k/zhilishche-narodnoe?lang=ru
https://historicalethnology.org/news/2024-t9-n2-4/</x:v>
      </x:c>
    </x:row>
    <x:row r="39" ht="96" customHeight="1">
      <x:c r="A39" s="3" t="str">
        <x:v>C038</x:v>
      </x:c>
      <x:c r="B39" s="3" t="str">
        <x:v>Градиент износа строится по воде, касанию и движению, а не по равномерной грязевой маске.</x:v>
      </x:c>
      <x:c r="C39" s="3" t="str">
        <x:v>Предложено для игры</x:v>
      </x:c>
      <x:c r="D39" s="3" t="str">
        <x:v>Материалы всех сцен</x:v>
      </x:c>
      <x:c r="E39" s="3" t="str">
        <x:v>["S101", "S109", "S116"]</x:v>
      </x:c>
      <x:c r="F39" s="3" t="str"/>
      <x:c r="G39" s="3" t="str">
        <x:v>Характер физически мотивирован, точный возраст покрытия неизвестен.</x:v>
      </x:c>
      <x:c r="H39" s="3" t="str">
        <x:v>Брызги у цоколя, лоск у защелки, след от стока и чистая зона регулярного прохода.</x:v>
      </x:c>
      <x:c r="I39" s="3" t="str">
        <x:v>https://commons.wikimedia.org/wiki/File:New_Kyrlai_(2021-04-26)_01.jpg
https://commons.wikimedia.org/wiki/File:Sagdi-aby_house_interior_(2021-04-26)_16.jpg
https://commons.wikimedia.org/wiki/File:Gabdulla_Tukay_Museum,_New_Kyrlai_(2024-03-28)_01.jpg</x:v>
      </x:c>
    </x:row>
    <x:row r="40" ht="96" customHeight="1">
      <x:c r="A40" s="3" t="str">
        <x:v>C039</x:v>
      </x:c>
      <x:c r="B40" s="3" t="str">
        <x:v>Детальные сорта садовых цветов и их распространенность в Кырлае не установлены.</x:v>
      </x:c>
      <x:c r="C40" s="3" t="str">
        <x:v>Не установлено</x:v>
      </x:c>
      <x:c r="D40" s="3" t="str">
        <x:v>Палисадники основной модели</x:v>
      </x:c>
      <x:c r="E40" s="3" t="str">
        <x:v>["S101", "S102"]</x:v>
      </x:c>
      <x:c r="F40" s="3" t="str"/>
      <x:c r="G40" s="3" t="str">
        <x:v>Районная флора и рекомендации садоводам не перечень посадок дома.</x:v>
      </x:c>
      <x:c r="H40" s="3" t="str">
        <x:v>До проверки использовать формы посадок и растения-кандидаты с отдельным статусом.</x:v>
      </x:c>
      <x:c r="I40" s="3" t="str">
        <x:v>https://commons.wikimedia.org/wiki/File:New_Kyrlai_(2021-04-26)_01.jpg
https://commons.wikimedia.org/wiki/File:2014-07-15_14-02-02_Тукай-Кырлай.jpg</x:v>
      </x:c>
    </x:row>
    <x:row r="41" ht="96" customHeight="1">
      <x:c r="A41" s="3" t="str">
        <x:v>C040</x:v>
      </x:c>
      <x:c r="B41" s="3" t="str">
        <x:v>Татарские бытовые термины в пакете имеют источник употребления, но местное произношение и реплики носителем не проверены.</x:v>
      </x:c>
      <x:c r="C41" s="3" t="str">
        <x:v>Не установлено</x:v>
      </x:c>
      <x:c r="D41" s="3" t="str">
        <x:v>Речь конкретного поколения и села</x:v>
      </x:c>
      <x:c r="E41" s="3" t="str">
        <x:v>["S012", "S031", "S034"]</x:v>
      </x:c>
      <x:c r="F41" s="3" t="str"/>
      <x:c r="G41" s="3" t="str"/>
      <x:c r="H41" s="3" t="str">
        <x:v>Не синтезировать финальные диалоги по одному словарю.</x:v>
      </x:c>
      <x:c r="I41" s="3" t="str">
        <x:v>https://almet-history.tatneft.ru/istoriya/traditsionnaya-kultura/remesla-i-narodnoe-iskusstvo/d-k/interer?lang=ru
https://tugan-tel.tatar/adabiyat/shigriyat/Gabdulla_Tukai/shurale.pdf
https://suzlek.antat.ru/</x:v>
      </x:c>
    </x:row>
  </x:sheetData>
  <x:conditionalFormatting sqref="C2:C41">
    <x:cfRule type="expression" dxfId="0" priority="1">
      <x:formula>C2="Предложено для игры"</x:formula>
    </x:cfRule>
    <x:cfRule type="expression" dxfId="1" priority="2">
      <x:formula>C2="Не установлено"</x:formula>
    </x:cfRule>
  </x:conditionalFormatting>
  <x:dataValidations count="1">
    <x:dataValidation type="list" sqref="C2:C41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6e1e6883748c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4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40" hidden="0" customWidth="1"/>
    <x:col min="12" max="12" width="40" hidden="0" customWidth="1"/>
    <x:col min="13" max="13" width="40" hidden="0" customWidth="1"/>
    <x:col min="14" max="14" width="34" hidden="0" customWidth="1"/>
    <x:col min="15" max="15" width="40" hidden="0" customWidth="1"/>
    <x:col min="16" max="16" width="34" hidden="0" customWidth="1"/>
    <x:col min="17" max="17" width="23" hidden="0" customWidth="1"/>
    <x:col min="18" max="18" width="23" hidden="0" customWidth="1"/>
    <x:col min="19" max="19" width="34" hidden="0" customWidth="1"/>
    <x:col min="20" max="20" width="4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40" hidden="0" customWidth="1"/>
  </x:cols>
  <x:sheetData>
    <x:row r="1" ht="42" customHeight="1">
      <x:c r="A1" s="8" t="str">
        <x:v>visual_id</x:v>
      </x:c>
      <x:c r="B1" s="8" t="str">
        <x:v>title</x:v>
      </x:c>
      <x:c r="C1" s="8" t="str">
        <x:v>object</x:v>
      </x:c>
      <x:c r="D1" s="8" t="str">
        <x:v>place</x:v>
      </x:c>
      <x:c r="E1" s="8" t="str">
        <x:v>localization_precision</x:v>
      </x:c>
      <x:c r="F1" s="8" t="str">
        <x:v>shooting_date</x:v>
      </x:c>
      <x:c r="G1" s="8" t="str">
        <x:v>date_basis</x:v>
      </x:c>
      <x:c r="H1" s="8" t="str">
        <x:v>publication_date</x:v>
      </x:c>
      <x:c r="I1" s="8" t="str">
        <x:v>author</x:v>
      </x:c>
      <x:c r="J1" s="8" t="str">
        <x:v>organization</x:v>
      </x:c>
      <x:c r="K1" s="8" t="str">
        <x:v>source_page</x:v>
      </x:c>
      <x:c r="L1" s="8" t="str">
        <x:v>direct_file_url</x:v>
      </x:c>
      <x:c r="M1" s="8" t="str">
        <x:v>thumbnail_url</x:v>
      </x:c>
      <x:c r="N1" s="8" t="str">
        <x:v>classification</x:v>
      </x:c>
      <x:c r="O1" s="8" t="str">
        <x:v>observed_features</x:v>
      </x:c>
      <x:c r="P1" s="8" t="str">
        <x:v>cannot_establish</x:v>
      </x:c>
      <x:c r="Q1" s="8" t="str">
        <x:v>claim_ids</x:v>
      </x:c>
      <x:c r="R1" s="8" t="str">
        <x:v>source_ids</x:v>
      </x:c>
      <x:c r="S1" s="8" t="str">
        <x:v>rights</x:v>
      </x:c>
      <x:c r="T1" s="8" t="str">
        <x:v>local_path</x:v>
      </x:c>
      <x:c r="U1" s="8" t="str">
        <x:v>access</x:v>
      </x:c>
      <x:c r="V1" s="8" t="str">
        <x:v>local_file_origin</x:v>
      </x:c>
      <x:c r="W1" s="8" t="str">
        <x:v>changes</x:v>
      </x:c>
      <x:c r="X1" s="8" t="str">
        <x:v>original_file_access</x:v>
      </x:c>
      <x:c r="Y1" s="8" t="str">
        <x:v>source_urls</x:v>
      </x:c>
    </x:row>
    <x:row r="2" ht="96" customHeight="1">
      <x:c r="A2" s="3" t="str">
        <x:v>V001</x:v>
      </x:c>
      <x:c r="B2" s="3" t="str">
        <x:v>Улица: смешанные ограждения и весенняя обочина</x:v>
      </x:c>
      <x:c r="C2" s="3" t="str">
        <x:v>Улица: смешанные ограждения и весенняя обочина</x:v>
      </x:c>
      <x:c r="D2" s="3" t="str">
        <x:v>Новый Кырлай, Арский район</x:v>
      </x:c>
      <x:c r="E2" s="3" t="str">
        <x:v>Объект/поселение; координаты частного владения не приводятся</x:v>
      </x:c>
      <x:c r="F2" s="3" t="str">
        <x:v>2021-04-26</x:v>
      </x:c>
      <x:c r="G2" s="3" t="str">
        <x:v>Метаданные и описание автора; часы камеры независимо не проверены</x:v>
      </x:c>
      <x:c r="H2" s="3" t="str">
        <x:v>2021-04-27</x:v>
      </x:c>
      <x:c r="I2" s="3" t="str">
        <x:v>Engelberthumperdink</x:v>
      </x:c>
      <x:c r="J2" s="3" t="str">
        <x:v>Wikimedia Commons</x:v>
      </x:c>
      <x:c r="K2" s="3" t="str">
        <x:v>https://commons.wikimedia.org/wiki/File:New_Kyrlai_(2021-04-26)_01.jpg</x:v>
      </x:c>
      <x:c r="L2" s="3" t="str">
        <x:v>https://upload.wikimedia.org/wikipedia/commons/1/12/New_Kyrlai_(2021-04-26)_01.jpg</x:v>
      </x:c>
      <x:c r="M2" s="3" t="str">
        <x:v>https://thumb.wikimedia.org/wikipedia/commons/thumb/1/12/New_Kyrlai_(2021-04-26)_01.jpg/960px-New_Kyrlai_(2021-04-26)_01.jpg</x:v>
      </x:c>
      <x:c r="N2" s="3" t="str">
        <x:v>Документальное</x:v>
      </x:c>
      <x:c r="O2" s="3" t="str">
        <x:v>Рельефные секции зеленовато-белого ограждения; металлическая калитка; кирпичная стойка; столб; влажная полоса у улицы; голые ветви; голубовато-зеленая кровля</x:v>
      </x:c>
      <x:c r="P2" s="3" t="str">
        <x:v>Нет масштаба, возраста ремонта, вида кустарника, данных о дворе за ограждением</x:v>
      </x:c>
      <x:c r="Q2" s="3" t="str">
        <x:v>["C015", "C016"]</x:v>
      </x:c>
      <x:c r="R2" s="3" t="str">
        <x:v>["S101"]</x:v>
      </x:c>
      <x:c r="S2" s="3" t="str">
        <x:v>CC BY-SA 4.0</x:v>
      </x:c>
      <x:c r="T2" s="3" t="str">
        <x:v>visual_references/photographs/V001_reference_preview.png</x:v>
      </x:c>
      <x:c r="U2" s="3" t="str">
        <x:v>Изображение непосредственно просмотрено</x:v>
      </x:c>
      <x:c r="V2" s="3" t="str">
        <x:v>Кадрирование малой копии из переданного в разговоре монтажного листа; оригинал заново не скачан</x:v>
      </x:c>
      <x:c r="W2" s="3" t="str">
        <x:v>Кадрирование, ранее уменьшенная версия; аннотации на отдельном листе</x:v>
      </x:c>
      <x:c r="X2" s="3" t="str">
        <x:v>Оригинал высокого разрешения не скачан; работоспособность прямого URL независимо не подтверждена</x:v>
      </x:c>
      <x:c r="Y2" s="3" t="str">
        <x:v>https://commons.wikimedia.org/wiki/File:New_Kyrlai_(2021-04-26)_01.jpg</x:v>
      </x:c>
    </x:row>
    <x:row r="3" ht="96" customHeight="1">
      <x:c r="A3" s="3" t="str">
        <x:v>V002</x:v>
      </x:c>
      <x:c r="B3" s="3" t="str">
        <x:v>Летний водоем и древесный берег</x:v>
      </x:c>
      <x:c r="C3" s="3" t="str">
        <x:v>Летний водоем и древесный берег</x:v>
      </x:c>
      <x:c r="D3" s="3" t="str">
        <x:v>Новый Кырлай, Арский район</x:v>
      </x:c>
      <x:c r="E3" s="3" t="str">
        <x:v>Объект/поселение; координаты частного владения не приводятся</x:v>
      </x:c>
      <x:c r="F3" s="3" t="str">
        <x:v>2014-07-15</x:v>
      </x:c>
      <x:c r="G3" s="3" t="str">
        <x:v>Метаданные и описание автора; часы камеры независимо не проверены</x:v>
      </x:c>
      <x:c r="H3" s="3" t="str">
        <x:v>2021-06-02</x:v>
      </x:c>
      <x:c r="I3" s="3" t="str">
        <x:v>TimoteoCirkla</x:v>
      </x:c>
      <x:c r="J3" s="3" t="str">
        <x:v>Wikimedia Commons</x:v>
      </x:c>
      <x:c r="K3" s="3" t="str">
        <x:v>https://commons.wikimedia.org/wiki/File:2014-07-15_14-02-02_Тукай-Кырлай.jpg</x:v>
      </x:c>
      <x:c r="L3" s="3" t="str">
        <x:v>https://upload.wikimedia.org/wikipedia/commons/5/5a/2014-07-15_14-02-02_Тукай-Кырлай.jpg</x:v>
      </x:c>
      <x:c r="M3" s="3" t="str">
        <x:v>https://thumb.wikimedia.org/wikipedia/commons/thumb/5/5a/2014-07-15_14-02-02_Тукай-Кырлай.jpg/960px-2014-07-15_14-02-02_Тукай-Кырлай.jpg</x:v>
      </x:c>
      <x:c r="N3" s="3" t="str">
        <x:v>Документальное</x:v>
      </x:c>
      <x:c r="O3" s="3" t="str">
        <x:v>Белоствольные деревья, определимые до рода береза; сомкнутая летняя листва у берега; спокойная поверхность воды</x:v>
      </x:c>
      <x:c r="P3" s="3" t="str">
        <x:v>Точное название водоема, глубина, ширина и качество воды не установлены</x:v>
      </x:c>
      <x:c r="Q3" s="3" t="str">
        <x:v>["C017"]</x:v>
      </x:c>
      <x:c r="R3" s="3" t="str">
        <x:v>["S102"]</x:v>
      </x:c>
      <x:c r="S3" s="3" t="str">
        <x:v>CC BY-SA 4.0</x:v>
      </x:c>
      <x:c r="T3" s="3" t="str">
        <x:v>visual_references/photographs/V002_reference_preview.png</x:v>
      </x:c>
      <x:c r="U3" s="3" t="str">
        <x:v>Изображение непосредственно просмотрено</x:v>
      </x:c>
      <x:c r="V3" s="3" t="str">
        <x:v>Кадрирование малой копии из переданного в разговоре монтажного листа; оригинал заново не скачан</x:v>
      </x:c>
      <x:c r="W3" s="3" t="str">
        <x:v>Кадрирование, ранее уменьшенная версия; аннотации на отдельном листе</x:v>
      </x:c>
      <x:c r="X3" s="3" t="str">
        <x:v>Оригинал высокого разрешения не скачан; работоспособность прямого URL независимо не подтверждена</x:v>
      </x:c>
      <x:c r="Y3" s="3" t="str">
        <x:v>https://commons.wikimedia.org/wiki/File:2014-07-15_14-02-02_Тукай-Кырлай.jpg</x:v>
      </x:c>
    </x:row>
    <x:row r="4" ht="96" customHeight="1">
      <x:c r="A4" s="3" t="str">
        <x:v>V003</x:v>
      </x:c>
      <x:c r="B4" s="3" t="str">
        <x:v>Постельный текстиль в музейном интерьере</x:v>
      </x:c>
      <x:c r="C4" s="3" t="str">
        <x:v>Постельный текстиль в музейном интерьере</x:v>
      </x:c>
      <x:c r="D4" s="3" t="str">
        <x:v>Новый Кырлай, Арский район</x:v>
      </x:c>
      <x:c r="E4" s="3" t="str">
        <x:v>Объект/поселение; координаты частного владения не приводятся</x:v>
      </x:c>
      <x:c r="F4" s="3" t="str">
        <x:v>2021-04-26</x:v>
      </x:c>
      <x:c r="G4" s="3" t="str">
        <x:v>Метаданные и описание автора; часы камеры независимо не проверены</x:v>
      </x:c>
      <x:c r="H4" s="3" t="str">
        <x:v>2021-04-27</x:v>
      </x:c>
      <x:c r="I4" s="3" t="str">
        <x:v>Engelberthumperdink</x:v>
      </x:c>
      <x:c r="J4" s="3" t="str">
        <x:v>Wikimedia Commons</x:v>
      </x:c>
      <x:c r="K4" s="3" t="str">
        <x:v>https://commons.wikimedia.org/wiki/File:Sagdi-aby_house_interior_(2021-04-26)_05.jpg</x:v>
      </x:c>
      <x:c r="L4" s="3" t="str">
        <x:v>https://upload.wikimedia.org/wikipedia/commons/4/41/Sagdi-aby_house_interior_(2021-04-26)_05.jpg</x:v>
      </x:c>
      <x:c r="M4" s="3" t="str">
        <x:v>https://thumb.wikimedia.org/wikipedia/commons/thumb/4/41/Sagdi-aby_house_interior_(2021-04-26)_05.jpg/960px-Sagdi-aby_house_interior_(2021-04-26)_05.jpg</x:v>
      </x:c>
      <x:c r="N4" s="3" t="str">
        <x:v>Музейное</x:v>
      </x:c>
      <x:c r="O4" s="3" t="str">
        <x:v>Три подушки, уложенные вертикальной стопкой; различные ткани; покрытая тканью опора; бревенчатая стена; текстиль рядом с окном</x:v>
      </x:c>
      <x:c r="P4" s="3" t="str">
        <x:v>Не современный жилой дом; волокно ткани, набивка, точные размеры и повседневная частота такой укладки не установлены</x:v>
      </x:c>
      <x:c r="Q4" s="3" t="str">
        <x:v>["C018"]</x:v>
      </x:c>
      <x:c r="R4" s="3" t="str">
        <x:v>["S103"]</x:v>
      </x:c>
      <x:c r="S4" s="3" t="str">
        <x:v>CC BY-SA 4.0</x:v>
      </x:c>
      <x:c r="T4" s="3" t="str">
        <x:v>visual_references/interiors/V003_reference_preview.png</x:v>
      </x:c>
      <x:c r="U4" s="3" t="str">
        <x:v>Изображение непосредственно просмотрено</x:v>
      </x:c>
      <x:c r="V4" s="3" t="str">
        <x:v>Кадрирование малой копии из переданного в разговоре монтажного листа; оригинал заново не скачан</x:v>
      </x:c>
      <x:c r="W4" s="3" t="str">
        <x:v>Кадрирование, ранее уменьшенная версия; аннотации на отдельном листе</x:v>
      </x:c>
      <x:c r="X4" s="3" t="str">
        <x:v>Оригинал высокого разрешения не скачан; работоспособность прямого URL независимо не подтверждена</x:v>
      </x:c>
      <x:c r="Y4" s="3" t="str">
        <x:v>https://commons.wikimedia.org/wiki/File:Sagdi-aby_house_interior_(2021-04-26)_05.jpg</x:v>
      </x:c>
    </x:row>
    <x:row r="5" ht="96" customHeight="1">
      <x:c r="A5" s="3" t="str">
        <x:v>V004</x:v>
      </x:c>
      <x:c r="B5" s="3" t="str">
        <x:v>Музейная комната: печь, стол и занавеси</x:v>
      </x:c>
      <x:c r="C5" s="3" t="str">
        <x:v>Музейная комната: печь, стол и занавеси</x:v>
      </x:c>
      <x:c r="D5" s="3" t="str">
        <x:v>Новый Кырлай, Арский район</x:v>
      </x:c>
      <x:c r="E5" s="3" t="str">
        <x:v>Объект/поселение; координаты частного владения не приводятся</x:v>
      </x:c>
      <x:c r="F5" s="3" t="str">
        <x:v>2021-04-26</x:v>
      </x:c>
      <x:c r="G5" s="3" t="str">
        <x:v>Метаданные и описание автора; часы камеры независимо не проверены</x:v>
      </x:c>
      <x:c r="H5" s="3" t="str">
        <x:v>2021-04-27</x:v>
      </x:c>
      <x:c r="I5" s="3" t="str">
        <x:v>Engelberthumperdink</x:v>
      </x:c>
      <x:c r="J5" s="3" t="str">
        <x:v>Wikimedia Commons</x:v>
      </x:c>
      <x:c r="K5" s="3" t="str">
        <x:v>https://commons.wikimedia.org/wiki/File:Sagdi-aby_house_interior_(2021-04-26)_21.jpg</x:v>
      </x:c>
      <x:c r="L5" s="3" t="str">
        <x:v>https://upload.wikimedia.org/wikipedia/commons/7/7b/Sagdi-aby_house_interior_(2021-04-26)_21.jpg</x:v>
      </x:c>
      <x:c r="M5" s="3" t="str">
        <x:v>https://thumb.wikimedia.org/wikipedia/commons/thumb/7/7b/Sagdi-aby_house_interior_(2021-04-26)_21.jpg/960px-Sagdi-aby_house_interior_(2021-04-26)_21.jpg</x:v>
      </x:c>
      <x:c r="N5" s="3" t="str">
        <x:v>Музейное</x:v>
      </x:c>
      <x:c r="O5" s="3" t="str">
        <x:v>Белая печь справа, стол слева, текстильная перегородка, приподнятая часть, подвесная колыбель; экспозиционный манекен и современное музейное освещение</x:v>
      </x:c>
      <x:c r="P5" s="3" t="str">
        <x:v>Не действующий интерьер 2015 г.; нельзя восстановить полный план, инженерные коммуникации или типичность вещей</x:v>
      </x:c>
      <x:c r="Q5" s="3" t="str">
        <x:v>["C019"]</x:v>
      </x:c>
      <x:c r="R5" s="3" t="str">
        <x:v>["S104"]</x:v>
      </x:c>
      <x:c r="S5" s="3" t="str">
        <x:v>CC BY-SA 4.0</x:v>
      </x:c>
      <x:c r="T5" s="3" t="str">
        <x:v>visual_references/interiors/V004_reference_preview.png</x:v>
      </x:c>
      <x:c r="U5" s="3" t="str">
        <x:v>Изображение непосредственно просмотрено</x:v>
      </x:c>
      <x:c r="V5" s="3" t="str">
        <x:v>Кадрирование малой копии из переданного в разговоре монтажного листа; оригинал заново не скачан</x:v>
      </x:c>
      <x:c r="W5" s="3" t="str">
        <x:v>Кадрирование, ранее уменьшенная версия; аннотации на отдельном листе</x:v>
      </x:c>
      <x:c r="X5" s="3" t="str">
        <x:v>Оригинал высокого разрешения не скачан; работоспособность прямого URL независимо не подтверждена</x:v>
      </x:c>
      <x:c r="Y5" s="3" t="str">
        <x:v>https://commons.wikimedia.org/wiki/File:Sagdi-aby_house_interior_(2021-04-26)_21.jpg</x:v>
      </x:c>
    </x:row>
    <x:row r="6" ht="96" customHeight="1">
      <x:c r="A6" s="3" t="str">
        <x:v>V005</x:v>
      </x:c>
      <x:c r="B6" s="3" t="str">
        <x:v>Фасад музейного дома Сагди-абыя</x:v>
      </x:c>
      <x:c r="C6" s="3" t="str">
        <x:v>Фасад музейного дома Сагди-абыя</x:v>
      </x:c>
      <x:c r="D6" s="3" t="str">
        <x:v>Новый Кырлай, Арский район</x:v>
      </x:c>
      <x:c r="E6" s="3" t="str">
        <x:v>Объект/поселение; координаты частного владения не приводятся</x:v>
      </x:c>
      <x:c r="F6" s="3" t="str">
        <x:v>2021-04-26</x:v>
      </x:c>
      <x:c r="G6" s="3" t="str">
        <x:v>Метаданные и описание автора; часы камеры независимо не проверены</x:v>
      </x:c>
      <x:c r="H6" s="3" t="str"/>
      <x:c r="I6" s="3" t="str">
        <x:v>Engelberthumperdink</x:v>
      </x:c>
      <x:c r="J6" s="3" t="str">
        <x:v>Wikimedia Commons</x:v>
      </x:c>
      <x:c r="K6" s="3" t="str">
        <x:v>https://commons.wikimedia.org/wiki/File:Sagdi-aby_house_(2021-04-26)_04.jpg</x:v>
      </x:c>
      <x:c r="L6" s="3" t="str">
        <x:v>https://upload.wikimedia.org/wikipedia/commons/0/06/Sagdi-aby_house_(2021-04-26)_04.jpg</x:v>
      </x:c>
      <x:c r="M6" s="3" t="str">
        <x:v>https://thumb.wikimedia.org/wikipedia/commons/thumb/0/06/Sagdi-aby_house_(2021-04-26)_04.jpg/960px-Sagdi-aby_house_(2021-04-26)_04.jpg</x:v>
      </x:c>
      <x:c r="N6" s="3" t="str">
        <x:v>Музейное</x:v>
      </x:c>
      <x:c r="O6" s="3" t="str">
        <x:v>Три окна в срубном фасаде; фронтон с дощатой зашивкой; декоративные завершения окон; наружная желтая труба</x:v>
      </x:c>
      <x:c r="P6" s="3" t="str">
        <x:v>Назначение трубы и размеры без обмера не установлены; восстановленный музей, не неремонтированный исторический дом</x:v>
      </x:c>
      <x:c r="Q6" s="3" t="str">
        <x:v>[]</x:v>
      </x:c>
      <x:c r="R6" s="3" t="str">
        <x:v>["S105"]</x:v>
      </x:c>
      <x:c r="S6" s="3" t="str">
        <x:v>CC BY-SA 4.0</x:v>
      </x:c>
      <x:c r="T6" s="3" t="str"/>
      <x:c r="U6" s="3" t="str">
        <x:v>Изображение непосредственно просмотрено</x:v>
      </x:c>
      <x:c r="V6" s="3" t="str">
        <x:v>Только внешний референс; локальной копии нет</x:v>
      </x:c>
      <x:c r="W6" s="3" t="str"/>
      <x:c r="X6" s="3" t="str">
        <x:v>Оригинал высокого разрешения не скачан; работоспособность прямого URL независимо не подтверждена</x:v>
      </x:c>
      <x:c r="Y6" s="3" t="str">
        <x:v>https://commons.wikimedia.org/wiki/File:Sagdi-aby_house_(2021-04-26)_04.jpg</x:v>
      </x:c>
    </x:row>
    <x:row r="7" ht="96" customHeight="1">
      <x:c r="A7" s="3" t="str">
        <x:v>V006</x:v>
      </x:c>
      <x:c r="B7" s="3" t="str">
        <x:v>Печь: объем и поверхности</x:v>
      </x:c>
      <x:c r="C7" s="3" t="str">
        <x:v>Печь: объем и поверхности</x:v>
      </x:c>
      <x:c r="D7" s="3" t="str">
        <x:v>Новый Кырлай, Арский район</x:v>
      </x:c>
      <x:c r="E7" s="3" t="str">
        <x:v>Объект/поселение; координаты частного владения не приводятся</x:v>
      </x:c>
      <x:c r="F7" s="3" t="str">
        <x:v>2021-04-26</x:v>
      </x:c>
      <x:c r="G7" s="3" t="str">
        <x:v>Метаданные и описание автора; часы камеры независимо не проверены</x:v>
      </x:c>
      <x:c r="H7" s="3" t="str"/>
      <x:c r="I7" s="3" t="str">
        <x:v>Engelberthumperdink</x:v>
      </x:c>
      <x:c r="J7" s="3" t="str">
        <x:v>Wikimedia Commons</x:v>
      </x:c>
      <x:c r="K7" s="3" t="str">
        <x:v>https://commons.wikimedia.org/wiki/File:Sagdi-aby_house_interior_(2021-04-26)_07.jpg</x:v>
      </x:c>
      <x:c r="L7" s="3" t="str">
        <x:v>https://upload.wikimedia.org/wikipedia/commons/9/9d/Sagdi-aby_house_interior_(2021-04-26)_07.jpg</x:v>
      </x:c>
      <x:c r="M7" s="3" t="str">
        <x:v>https://thumb.wikimedia.org/wikipedia/commons/thumb/9/9d/Sagdi-aby_house_interior_(2021-04-26)_07.jpg/960px-Sagdi-aby_house_interior_(2021-04-26)_07.jpg</x:v>
      </x:c>
      <x:c r="N7" s="3" t="str">
        <x:v>Музейное</x:v>
      </x:c>
      <x:c r="O7" s="3" t="str">
        <x:v>Белая массивная печь, отверстия и примыкание к стене</x:v>
      </x:c>
      <x:c r="P7" s="3" t="str">
        <x:v>Нет разреза дымохода, данных о работоспособности или размеров</x:v>
      </x:c>
      <x:c r="Q7" s="3" t="str">
        <x:v>[]</x:v>
      </x:c>
      <x:c r="R7" s="3" t="str">
        <x:v>["S106"]</x:v>
      </x:c>
      <x:c r="S7" s="3" t="str">
        <x:v>CC BY-SA 4.0</x:v>
      </x:c>
      <x:c r="T7" s="3" t="str"/>
      <x:c r="U7" s="3" t="str">
        <x:v>Изображение непосредственно просмотрено</x:v>
      </x:c>
      <x:c r="V7" s="3" t="str">
        <x:v>Только внешний референс; локальной копии нет</x:v>
      </x:c>
      <x:c r="W7" s="3" t="str"/>
      <x:c r="X7" s="3" t="str">
        <x:v>Оригинал высокого разрешения не скачан; работоспособность прямого URL независимо не подтверждена</x:v>
      </x:c>
      <x:c r="Y7" s="3" t="str">
        <x:v>https://commons.wikimedia.org/wiki/File:Sagdi-aby_house_interior_(2021-04-26)_07.jpg</x:v>
      </x:c>
    </x:row>
    <x:row r="8" ht="96" customHeight="1">
      <x:c r="A8" s="3" t="str">
        <x:v>V007</x:v>
      </x:c>
      <x:c r="B8" s="3" t="str">
        <x:v>Подвесная колыбель и текстиль</x:v>
      </x:c>
      <x:c r="C8" s="3" t="str">
        <x:v>Подвесная колыбель и текстиль</x:v>
      </x:c>
      <x:c r="D8" s="3" t="str">
        <x:v>Новый Кырлай, Арский район</x:v>
      </x:c>
      <x:c r="E8" s="3" t="str">
        <x:v>Объект/поселение; координаты частного владения не приводятся</x:v>
      </x:c>
      <x:c r="F8" s="3" t="str">
        <x:v>2021-04-26</x:v>
      </x:c>
      <x:c r="G8" s="3" t="str">
        <x:v>Метаданные и описание автора; часы камеры независимо не проверены</x:v>
      </x:c>
      <x:c r="H8" s="3" t="str"/>
      <x:c r="I8" s="3" t="str">
        <x:v>Engelberthumperdink</x:v>
      </x:c>
      <x:c r="J8" s="3" t="str">
        <x:v>Wikimedia Commons</x:v>
      </x:c>
      <x:c r="K8" s="3" t="str">
        <x:v>https://commons.wikimedia.org/wiki/File:Sagdi-aby_house_interior_(2021-04-26)_10.jpg</x:v>
      </x:c>
      <x:c r="L8" s="3" t="str">
        <x:v>https://upload.wikimedia.org/wikipedia/commons/e/ed/Sagdi-aby_house_interior_(2021-04-26)_10.jpg</x:v>
      </x:c>
      <x:c r="M8" s="3" t="str">
        <x:v>https://thumb.wikimedia.org/wikipedia/commons/thumb/e/ed/Sagdi-aby_house_interior_(2021-04-26)_10.jpg/960px-Sagdi-aby_house_interior_(2021-04-26)_10.jpg</x:v>
      </x:c>
      <x:c r="N8" s="3" t="str">
        <x:v>Музейное</x:v>
      </x:c>
      <x:c r="O8" s="3" t="str">
        <x:v>Подвесной предмет и полосатый текстиль в музейном устройстве</x:v>
      </x:c>
      <x:c r="P8" s="3" t="str">
        <x:v>Не доказательство применения колыбели в местной семье XXI в.</x:v>
      </x:c>
      <x:c r="Q8" s="3" t="str">
        <x:v>[]</x:v>
      </x:c>
      <x:c r="R8" s="3" t="str">
        <x:v>["S107"]</x:v>
      </x:c>
      <x:c r="S8" s="3" t="str">
        <x:v>CC BY-SA 4.0</x:v>
      </x:c>
      <x:c r="T8" s="3" t="str"/>
      <x:c r="U8" s="3" t="str">
        <x:v>Изображение непосредственно просмотрено</x:v>
      </x:c>
      <x:c r="V8" s="3" t="str">
        <x:v>Только внешний референс; локальной копии нет</x:v>
      </x:c>
      <x:c r="W8" s="3" t="str"/>
      <x:c r="X8" s="3" t="str">
        <x:v>Оригинал высокого разрешения не скачан; работоспособность прямого URL независимо не подтверждена</x:v>
      </x:c>
      <x:c r="Y8" s="3" t="str">
        <x:v>https://commons.wikimedia.org/wiki/File:Sagdi-aby_house_interior_(2021-04-26)_10.jpg</x:v>
      </x:c>
    </x:row>
    <x:row r="9" ht="96" customHeight="1">
      <x:c r="A9" s="3" t="str">
        <x:v>V008</x:v>
      </x:c>
      <x:c r="B9" s="3" t="str">
        <x:v>Припечный металлический инвентарь</x:v>
      </x:c>
      <x:c r="C9" s="3" t="str">
        <x:v>Припечный металлический инвентарь</x:v>
      </x:c>
      <x:c r="D9" s="3" t="str">
        <x:v>Новый Кырлай, Арский район</x:v>
      </x:c>
      <x:c r="E9" s="3" t="str">
        <x:v>Объект/поселение; координаты частного владения не приводятся</x:v>
      </x:c>
      <x:c r="F9" s="3" t="str">
        <x:v>2021-04-26</x:v>
      </x:c>
      <x:c r="G9" s="3" t="str">
        <x:v>Метаданные и описание автора; часы камеры независимо не проверены</x:v>
      </x:c>
      <x:c r="H9" s="3" t="str"/>
      <x:c r="I9" s="3" t="str">
        <x:v>Engelberthumperdink</x:v>
      </x:c>
      <x:c r="J9" s="3" t="str">
        <x:v>Wikimedia Commons</x:v>
      </x:c>
      <x:c r="K9" s="3" t="str">
        <x:v>https://commons.wikimedia.org/wiki/File:Sagdi-aby_house_interior_(2021-04-26)_15.jpg</x:v>
      </x:c>
      <x:c r="L9" s="3" t="str">
        <x:v>https://upload.wikimedia.org/wikipedia/commons/7/7c/Sagdi-aby_house_interior_(2021-04-26)_15.jpg</x:v>
      </x:c>
      <x:c r="M9" s="3" t="str">
        <x:v>https://thumb.wikimedia.org/wikipedia/commons/thumb/7/7c/Sagdi-aby_house_interior_(2021-04-26)_15.jpg/960px-Sagdi-aby_house_interior_(2021-04-26)_15.jpg</x:v>
      </x:c>
      <x:c r="N9" s="3" t="str">
        <x:v>Музейное</x:v>
      </x:c>
      <x:c r="O9" s="3" t="str">
        <x:v>Металлические инструменты, сосуды и опоры около печи</x:v>
      </x:c>
      <x:c r="P9" s="3" t="str">
        <x:v>Назначение каждого предмета требует инвентарной карточки</x:v>
      </x:c>
      <x:c r="Q9" s="3" t="str">
        <x:v>[]</x:v>
      </x:c>
      <x:c r="R9" s="3" t="str">
        <x:v>["S108"]</x:v>
      </x:c>
      <x:c r="S9" s="3" t="str">
        <x:v>CC BY-SA 4.0</x:v>
      </x:c>
      <x:c r="T9" s="3" t="str"/>
      <x:c r="U9" s="3" t="str">
        <x:v>Изображение непосредственно просмотрено</x:v>
      </x:c>
      <x:c r="V9" s="3" t="str">
        <x:v>Только внешний референс; локальной копии нет</x:v>
      </x:c>
      <x:c r="W9" s="3" t="str"/>
      <x:c r="X9" s="3" t="str">
        <x:v>Оригинал высокого разрешения не скачан; работоспособность прямого URL независимо не подтверждена</x:v>
      </x:c>
      <x:c r="Y9" s="3" t="str">
        <x:v>https://commons.wikimedia.org/wiki/File:Sagdi-aby_house_interior_(2021-04-26)_15.jpg</x:v>
      </x:c>
    </x:row>
    <x:row r="10" ht="96" customHeight="1">
      <x:c r="A10" s="3" t="str">
        <x:v>V009</x:v>
      </x:c>
      <x:c r="B10" s="3" t="str">
        <x:v>Горшки у печи</x:v>
      </x:c>
      <x:c r="C10" s="3" t="str">
        <x:v>Горшки у печи</x:v>
      </x:c>
      <x:c r="D10" s="3" t="str">
        <x:v>Новый Кырлай, Арский район</x:v>
      </x:c>
      <x:c r="E10" s="3" t="str">
        <x:v>Объект/поселение; координаты частного владения не приводятся</x:v>
      </x:c>
      <x:c r="F10" s="3" t="str">
        <x:v>2021-04-26</x:v>
      </x:c>
      <x:c r="G10" s="3" t="str">
        <x:v>Метаданные и описание автора; часы камеры независимо не проверены</x:v>
      </x:c>
      <x:c r="H10" s="3" t="str"/>
      <x:c r="I10" s="3" t="str">
        <x:v>Engelberthumperdink</x:v>
      </x:c>
      <x:c r="J10" s="3" t="str">
        <x:v>Wikimedia Commons</x:v>
      </x:c>
      <x:c r="K10" s="3" t="str">
        <x:v>https://commons.wikimedia.org/wiki/File:Sagdi-aby_house_interior_(2021-04-26)_16.jpg</x:v>
      </x:c>
      <x:c r="L10" s="3" t="str">
        <x:v>https://upload.wikimedia.org/wikipedia/commons/0/0b/Sagdi-aby_house_interior_(2021-04-26)_16.jpg</x:v>
      </x:c>
      <x:c r="M10" s="3" t="str">
        <x:v>https://thumb.wikimedia.org/wikipedia/commons/thumb/0/0b/Sagdi-aby_house_interior_(2021-04-26)_16.jpg/960px-Sagdi-aby_house_interior_(2021-04-26)_16.jpg</x:v>
      </x:c>
      <x:c r="N10" s="3" t="str">
        <x:v>Музейное</x:v>
      </x:c>
      <x:c r="O10" s="3" t="str">
        <x:v>Разные по форме сосуды; локальные темные следы на поверхностях</x:v>
      </x:c>
      <x:c r="P10" s="3" t="str">
        <x:v>Техника изготовления, датировка и использование в обычном доме не установлены</x:v>
      </x:c>
      <x:c r="Q10" s="3" t="str">
        <x:v>[]</x:v>
      </x:c>
      <x:c r="R10" s="3" t="str">
        <x:v>["S109"]</x:v>
      </x:c>
      <x:c r="S10" s="3" t="str">
        <x:v>CC BY-SA 4.0</x:v>
      </x:c>
      <x:c r="T10" s="3" t="str"/>
      <x:c r="U10" s="3" t="str">
        <x:v>Изображение непосредственно просмотрено</x:v>
      </x:c>
      <x:c r="V10" s="3" t="str">
        <x:v>Только внешний референс; локальной копии нет</x:v>
      </x:c>
      <x:c r="W10" s="3" t="str"/>
      <x:c r="X10" s="3" t="str">
        <x:v>Оригинал высокого разрешения не скачан; работоспособность прямого URL независимо не подтверждена</x:v>
      </x:c>
      <x:c r="Y10" s="3" t="str">
        <x:v>https://commons.wikimedia.org/wiki/File:Sagdi-aby_house_interior_(2021-04-26)_16.jpg</x:v>
      </x:c>
    </x:row>
    <x:row r="11" ht="96" customHeight="1">
      <x:c r="A11" s="3" t="str">
        <x:v>V010</x:v>
      </x:c>
      <x:c r="B11" s="3" t="str">
        <x:v>Стол и утварь у печи</x:v>
      </x:c>
      <x:c r="C11" s="3" t="str">
        <x:v>Стол и утварь у печи</x:v>
      </x:c>
      <x:c r="D11" s="3" t="str">
        <x:v>Новый Кырлай, Арский район</x:v>
      </x:c>
      <x:c r="E11" s="3" t="str">
        <x:v>Объект/поселение; координаты частного владения не приводятся</x:v>
      </x:c>
      <x:c r="F11" s="3" t="str">
        <x:v>2021-04-26</x:v>
      </x:c>
      <x:c r="G11" s="3" t="str">
        <x:v>Метаданные и описание автора; часы камеры независимо не проверены</x:v>
      </x:c>
      <x:c r="H11" s="3" t="str"/>
      <x:c r="I11" s="3" t="str">
        <x:v>Engelberthumperdink</x:v>
      </x:c>
      <x:c r="J11" s="3" t="str">
        <x:v>Wikimedia Commons</x:v>
      </x:c>
      <x:c r="K11" s="3" t="str">
        <x:v>https://commons.wikimedia.org/wiki/File:Sagdi-aby_house_interior_(2021-04-26)_18.jpg</x:v>
      </x:c>
      <x:c r="L11" s="3" t="str">
        <x:v>https://upload.wikimedia.org/wikipedia/commons/9/9f/Sagdi-aby_house_interior_(2021-04-26)_18.jpg</x:v>
      </x:c>
      <x:c r="M11" s="3" t="str">
        <x:v>https://thumb.wikimedia.org/wikipedia/commons/thumb/9/9f/Sagdi-aby_house_interior_(2021-04-26)_18.jpg/960px-Sagdi-aby_house_interior_(2021-04-26)_18.jpg</x:v>
      </x:c>
      <x:c r="N11" s="3" t="str">
        <x:v>Музейное</x:v>
      </x:c>
      <x:c r="O11" s="3" t="str">
        <x:v>Круглый металлический предмет у белой поверхности, стол, сосуды и ткань</x:v>
      </x:c>
      <x:c r="P11" s="3" t="str">
        <x:v>Материал сплава и бытовая схема использования не установлены</x:v>
      </x:c>
      <x:c r="Q11" s="3" t="str">
        <x:v>[]</x:v>
      </x:c>
      <x:c r="R11" s="3" t="str">
        <x:v>["S110"]</x:v>
      </x:c>
      <x:c r="S11" s="3" t="str">
        <x:v>CC BY-SA 4.0</x:v>
      </x:c>
      <x:c r="T11" s="3" t="str"/>
      <x:c r="U11" s="3" t="str">
        <x:v>Изображение непосредственно просмотрено</x:v>
      </x:c>
      <x:c r="V11" s="3" t="str">
        <x:v>Только внешний референс; локальной копии нет</x:v>
      </x:c>
      <x:c r="W11" s="3" t="str"/>
      <x:c r="X11" s="3" t="str">
        <x:v>Оригинал высокого разрешения не скачан; работоспособность прямого URL независимо не подтверждена</x:v>
      </x:c>
      <x:c r="Y11" s="3" t="str">
        <x:v>https://commons.wikimedia.org/wiki/File:Sagdi-aby_house_interior_(2021-04-26)_18.jpg</x:v>
      </x:c>
    </x:row>
    <x:row r="12" ht="96" customHeight="1">
      <x:c r="A12" s="3" t="str">
        <x:v>V011</x:v>
      </x:c>
      <x:c r="B12" s="3" t="str">
        <x:v>Музейный набор деревянной и металлической утвари</x:v>
      </x:c>
      <x:c r="C12" s="3" t="str">
        <x:v>Музейный набор деревянной и металлической утвари</x:v>
      </x:c>
      <x:c r="D12" s="3" t="str">
        <x:v>Новый Кырлай, Арский район</x:v>
      </x:c>
      <x:c r="E12" s="3" t="str">
        <x:v>Объект/поселение; координаты частного владения не приводятся</x:v>
      </x:c>
      <x:c r="F12" s="3" t="str">
        <x:v>2021-04-26</x:v>
      </x:c>
      <x:c r="G12" s="3" t="str">
        <x:v>Метаданные и описание автора; часы камеры независимо не проверены</x:v>
      </x:c>
      <x:c r="H12" s="3" t="str"/>
      <x:c r="I12" s="3" t="str">
        <x:v>Engelberthumperdink</x:v>
      </x:c>
      <x:c r="J12" s="3" t="str">
        <x:v>Wikimedia Commons</x:v>
      </x:c>
      <x:c r="K12" s="3" t="str">
        <x:v>https://commons.wikimedia.org/wiki/File:Sagdi-aby_house_interior_(2021-04-26)_11.jpg</x:v>
      </x:c>
      <x:c r="L12" s="3" t="str">
        <x:v>https://upload.wikimedia.org/wikipedia/commons/1/1b/Sagdi-aby_house_interior_(2021-04-26)_11.jpg</x:v>
      </x:c>
      <x:c r="M12" s="3" t="str">
        <x:v>https://thumb.wikimedia.org/wikipedia/commons/thumb/1/1b/Sagdi-aby_house_interior_(2021-04-26)_11.jpg/960px-Sagdi-aby_house_interior_(2021-04-26)_11.jpg</x:v>
      </x:c>
      <x:c r="N12" s="3" t="str">
        <x:v>Музейное</x:v>
      </x:c>
      <x:c r="O12" s="3" t="str">
        <x:v>Клепаные сосуды, корзина, металлические предметы, ткань; музейная инвентарная маркировка</x:v>
      </x:c>
      <x:c r="P12" s="3" t="str">
        <x:v>Это экспозиционная подборка, а не расположение работающей кухни</x:v>
      </x:c>
      <x:c r="Q12" s="3" t="str">
        <x:v>[]</x:v>
      </x:c>
      <x:c r="R12" s="3" t="str">
        <x:v>["S111"]</x:v>
      </x:c>
      <x:c r="S12" s="3" t="str">
        <x:v>CC BY-SA 4.0</x:v>
      </x:c>
      <x:c r="T12" s="3" t="str"/>
      <x:c r="U12" s="3" t="str">
        <x:v>Изображение непосредственно просмотрено</x:v>
      </x:c>
      <x:c r="V12" s="3" t="str">
        <x:v>Только внешний референс; локальной копии нет</x:v>
      </x:c>
      <x:c r="W12" s="3" t="str"/>
      <x:c r="X12" s="3" t="str">
        <x:v>Оригинал высокого разрешения не скачан; работоспособность прямого URL независимо не подтверждена</x:v>
      </x:c>
      <x:c r="Y12" s="3" t="str">
        <x:v>https://commons.wikimedia.org/wiki/File:Sagdi-aby_house_interior_(2021-04-26)_11.jpg</x:v>
      </x:c>
    </x:row>
    <x:row r="13" ht="96" customHeight="1">
      <x:c r="A13" s="3" t="str">
        <x:v>V012</x:v>
      </x:c>
      <x:c r="B13" s="3" t="str">
        <x:v>Низкое дворовое сооружение</x:v>
      </x:c>
      <x:c r="C13" s="3" t="str">
        <x:v>Низкое дворовое сооружение</x:v>
      </x:c>
      <x:c r="D13" s="3" t="str">
        <x:v>Новый Кырлай, Арский район</x:v>
      </x:c>
      <x:c r="E13" s="3" t="str">
        <x:v>Объект/поселение; координаты частного владения не приводятся</x:v>
      </x:c>
      <x:c r="F13" s="3" t="str">
        <x:v>2021-04-26</x:v>
      </x:c>
      <x:c r="G13" s="3" t="str">
        <x:v>Метаданные и описание автора; часы камеры независимо не проверены</x:v>
      </x:c>
      <x:c r="H13" s="3" t="str"/>
      <x:c r="I13" s="3" t="str">
        <x:v>Engelberthumperdink</x:v>
      </x:c>
      <x:c r="J13" s="3" t="str">
        <x:v>Wikimedia Commons</x:v>
      </x:c>
      <x:c r="K13" s="3" t="str">
        <x:v>https://commons.wikimedia.org/wiki/File:Sagdi-aby_house_(2021-04-26)_20.jpg</x:v>
      </x:c>
      <x:c r="L13" s="3" t="str">
        <x:v>https://upload.wikimedia.org/wikipedia/commons/2/2d/Sagdi-aby_house_(2021-04-26)_20.jpg</x:v>
      </x:c>
      <x:c r="M13" s="3" t="str">
        <x:v>https://thumb.wikimedia.org/wikipedia/commons/thumb/2/2d/Sagdi-aby_house_(2021-04-26)_20.jpg/960px-Sagdi-aby_house_(2021-04-26)_20.jpg</x:v>
      </x:c>
      <x:c r="N13" s="3" t="str">
        <x:v>Музейное</x:v>
      </x:c>
      <x:c r="O13" s="3" t="str">
        <x:v>Низкая двускатная кровля, дощатая дверь, земля вокруг</x:v>
      </x:c>
      <x:c r="P13" s="3" t="str">
        <x:v>Функция предположительно погребная; без музейного паспорта не установлена</x:v>
      </x:c>
      <x:c r="Q13" s="3" t="str">
        <x:v>[]</x:v>
      </x:c>
      <x:c r="R13" s="3" t="str">
        <x:v>["S112"]</x:v>
      </x:c>
      <x:c r="S13" s="3" t="str">
        <x:v>CC BY-SA 4.0</x:v>
      </x:c>
      <x:c r="T13" s="3" t="str"/>
      <x:c r="U13" s="3" t="str">
        <x:v>Изображение непосредственно просмотрено</x:v>
      </x:c>
      <x:c r="V13" s="3" t="str">
        <x:v>Только внешний референс; локальной копии нет</x:v>
      </x:c>
      <x:c r="W13" s="3" t="str"/>
      <x:c r="X13" s="3" t="str">
        <x:v>Оригинал высокого разрешения не скачан; работоспособность прямого URL независимо не подтверждена</x:v>
      </x:c>
      <x:c r="Y13" s="3" t="str">
        <x:v>https://commons.wikimedia.org/wiki/File:Sagdi-aby_house_(2021-04-26)_20.jpg</x:v>
      </x:c>
    </x:row>
    <x:row r="14" ht="96" customHeight="1">
      <x:c r="A14" s="3" t="str">
        <x:v>V013</x:v>
      </x:c>
      <x:c r="B14" s="3" t="str">
        <x:v>Музейный двор и фон современной застройки</x:v>
      </x:c>
      <x:c r="C14" s="3" t="str">
        <x:v>Музейный двор и фон современной застройки</x:v>
      </x:c>
      <x:c r="D14" s="3" t="str">
        <x:v>Новый Кырлай, Арский район</x:v>
      </x:c>
      <x:c r="E14" s="3" t="str">
        <x:v>Объект/поселение; координаты частного владения не приводятся</x:v>
      </x:c>
      <x:c r="F14" s="3" t="str">
        <x:v>2021-04-26</x:v>
      </x:c>
      <x:c r="G14" s="3" t="str">
        <x:v>Метаданные и описание автора; часы камеры независимо не проверены</x:v>
      </x:c>
      <x:c r="H14" s="3" t="str"/>
      <x:c r="I14" s="3" t="str">
        <x:v>Engelberthumperdink</x:v>
      </x:c>
      <x:c r="J14" s="3" t="str">
        <x:v>Wikimedia Commons</x:v>
      </x:c>
      <x:c r="K14" s="3" t="str">
        <x:v>https://commons.wikimedia.org/wiki/File:Sagdi-aby_house_(2021-04-26)_25.jpg</x:v>
      </x:c>
      <x:c r="L14" s="3" t="str">
        <x:v>https://upload.wikimedia.org/wikipedia/commons/e/e7/Sagdi-aby_house_(2021-04-26)_25.jpg</x:v>
      </x:c>
      <x:c r="M14" s="3" t="str">
        <x:v>https://thumb.wikimedia.org/wikipedia/commons/thumb/e/e7/Sagdi-aby_house_(2021-04-26)_25.jpg/960px-Sagdi-aby_house_(2021-04-26)_25.jpg</x:v>
      </x:c>
      <x:c r="N14" s="3" t="str">
        <x:v>Музейное</x:v>
      </x:c>
      <x:c r="O14" s="3" t="str">
        <x:v>Экспонаты сельхозинвентаря; соломенная музейная кровля; современные кровли на дальнем плане</x:v>
      </x:c>
      <x:c r="P14" s="3" t="str">
        <x:v>Соседние частные дворы почти не видны; не переносить солому в обычный дом 2015 г.</x:v>
      </x:c>
      <x:c r="Q14" s="3" t="str">
        <x:v>[]</x:v>
      </x:c>
      <x:c r="R14" s="3" t="str">
        <x:v>["S113"]</x:v>
      </x:c>
      <x:c r="S14" s="3" t="str">
        <x:v>CC BY-SA 4.0</x:v>
      </x:c>
      <x:c r="T14" s="3" t="str"/>
      <x:c r="U14" s="3" t="str">
        <x:v>Изображение непосредственно просмотрено</x:v>
      </x:c>
      <x:c r="V14" s="3" t="str">
        <x:v>Только внешний референс; локальной копии нет</x:v>
      </x:c>
      <x:c r="W14" s="3" t="str"/>
      <x:c r="X14" s="3" t="str">
        <x:v>Оригинал высокого разрешения не скачан; работоспособность прямого URL независимо не подтверждена</x:v>
      </x:c>
      <x:c r="Y14" s="3" t="str">
        <x:v>https://commons.wikimedia.org/wiki/File:Sagdi-aby_house_(2021-04-26)_25.jpg</x:v>
      </x:c>
    </x:row>
    <x:row r="15" ht="96" customHeight="1">
      <x:c r="A15" s="3" t="str">
        <x:v>V014</x:v>
      </x:c>
      <x:c r="B15" s="3" t="str">
        <x:v>Дверь и соломенная музейная кровля</x:v>
      </x:c>
      <x:c r="C15" s="3" t="str">
        <x:v>Дверь и соломенная музейная кровля</x:v>
      </x:c>
      <x:c r="D15" s="3" t="str">
        <x:v>Новый Кырлай, Арский район</x:v>
      </x:c>
      <x:c r="E15" s="3" t="str">
        <x:v>Объект/поселение; координаты частного владения не приводятся</x:v>
      </x:c>
      <x:c r="F15" s="3" t="str">
        <x:v>2021-04-26</x:v>
      </x:c>
      <x:c r="G15" s="3" t="str">
        <x:v>Метаданные и описание автора; часы камеры независимо не проверены</x:v>
      </x:c>
      <x:c r="H15" s="3" t="str"/>
      <x:c r="I15" s="3" t="str">
        <x:v>Engelberthumperdink</x:v>
      </x:c>
      <x:c r="J15" s="3" t="str">
        <x:v>Wikimedia Commons</x:v>
      </x:c>
      <x:c r="K15" s="3" t="str">
        <x:v>https://commons.wikimedia.org/wiki/File:Sagdi-aby_house_(2021-04-26)_30.jpg</x:v>
      </x:c>
      <x:c r="L15" s="3" t="str">
        <x:v>https://upload.wikimedia.org/wikipedia/commons/0/02/Sagdi-aby_house_(2021-04-26)_30.jpg</x:v>
      </x:c>
      <x:c r="M15" s="3" t="str">
        <x:v>https://thumb.wikimedia.org/wikipedia/commons/thumb/0/02/Sagdi-aby_house_(2021-04-26)_30.jpg/960px-Sagdi-aby_house_(2021-04-26)_30.jpg</x:v>
      </x:c>
      <x:c r="N15" s="3" t="str">
        <x:v>Музейное</x:v>
      </x:c>
      <x:c r="O15" s="3" t="str">
        <x:v>Прижимные элементы по скату; дощатая дверь и диагональная связь</x:v>
      </x:c>
      <x:c r="P15" s="3" t="str">
        <x:v>Возраст и историческая точность реконструкции отдельно не установлены</x:v>
      </x:c>
      <x:c r="Q15" s="3" t="str">
        <x:v>[]</x:v>
      </x:c>
      <x:c r="R15" s="3" t="str">
        <x:v>["S114"]</x:v>
      </x:c>
      <x:c r="S15" s="3" t="str">
        <x:v>CC BY-SA 4.0</x:v>
      </x:c>
      <x:c r="T15" s="3" t="str"/>
      <x:c r="U15" s="3" t="str">
        <x:v>Изображение непосредственно просмотрено</x:v>
      </x:c>
      <x:c r="V15" s="3" t="str">
        <x:v>Только внешний референс; локальной копии нет</x:v>
      </x:c>
      <x:c r="W15" s="3" t="str"/>
      <x:c r="X15" s="3" t="str">
        <x:v>Оригинал высокого разрешения не скачан; работоспособность прямого URL независимо не подтверждена</x:v>
      </x:c>
      <x:c r="Y15" s="3" t="str">
        <x:v>https://commons.wikimedia.org/wiki/File:Sagdi-aby_house_(2021-04-26)_30.jpg</x:v>
      </x:c>
    </x:row>
    <x:row r="16" ht="96" customHeight="1">
      <x:c r="A16" s="3" t="str">
        <x:v>V015</x:v>
      </x:c>
      <x:c r="B16" s="3" t="str">
        <x:v>Осенняя аллея и здание музея</x:v>
      </x:c>
      <x:c r="C16" s="3" t="str">
        <x:v>Осенняя аллея и здание музея</x:v>
      </x:c>
      <x:c r="D16" s="3" t="str">
        <x:v>Новый Кырлай, Арский район</x:v>
      </x:c>
      <x:c r="E16" s="3" t="str">
        <x:v>Объект/поселение; координаты частного владения не приводятся</x:v>
      </x:c>
      <x:c r="F16" s="3" t="str">
        <x:v>2016-10-08</x:v>
      </x:c>
      <x:c r="G16" s="3" t="str">
        <x:v>Метаданные и описание автора; часы камеры независимо не проверены</x:v>
      </x:c>
      <x:c r="H16" s="3" t="str">
        <x:v>2017-05-30</x:v>
      </x:c>
      <x:c r="I16" s="3" t="str">
        <x:v>Арсений Павлов</x:v>
      </x:c>
      <x:c r="J16" s="3" t="str">
        <x:v>Wikimedia Commons</x:v>
      </x:c>
      <x:c r="K16" s="3" t="str">
        <x:v>https://commons.wikimedia.org/wiki/File:Мемориальный_музей_Габдуллы_Тукая.jpg</x:v>
      </x:c>
      <x:c r="L16" s="3" t="str">
        <x:v>https://upload.wikimedia.org/wikipedia/commons/9/91/Мемориальный_музей_Габдуллы_Тукая.jpg</x:v>
      </x:c>
      <x:c r="M16" s="3" t="str">
        <x:v>https://thumb.wikimedia.org/wikipedia/commons/thumb/9/91/Мемориальный_музей_Габдуллы_Тукая.jpg/960px-Мемориальный_музей_Габдуллы_Тукая.jpg</x:v>
      </x:c>
      <x:c r="N16" s="3" t="str">
        <x:v>Документальное</x:v>
      </x:c>
      <x:c r="O16" s="3" t="str">
        <x:v>Опавшая листва на дорожке; хвойные деревья; музейное здание в конце аллеи</x:v>
      </x:c>
      <x:c r="P16" s="3" t="str">
        <x:v>Парковая посадка не представляет естественный лес; дата съемки не дата постройки</x:v>
      </x:c>
      <x:c r="Q16" s="3" t="str">
        <x:v>[]</x:v>
      </x:c>
      <x:c r="R16" s="3" t="str">
        <x:v>["S115"]</x:v>
      </x:c>
      <x:c r="S16" s="3" t="str">
        <x:v>CC BY-SA 4.0</x:v>
      </x:c>
      <x:c r="T16" s="3" t="str"/>
      <x:c r="U16" s="3" t="str">
        <x:v>Изображение непосредственно просмотрено</x:v>
      </x:c>
      <x:c r="V16" s="3" t="str">
        <x:v>Только внешний референс; локальной копии нет</x:v>
      </x:c>
      <x:c r="W16" s="3" t="str"/>
      <x:c r="X16" s="3" t="str">
        <x:v>Оригинал высокого разрешения не скачан; работоспособность прямого URL независимо не подтверждена</x:v>
      </x:c>
      <x:c r="Y16" s="3" t="str">
        <x:v>https://commons.wikimedia.org/wiki/File:Мемориальный_музей_Габдуллы_Тукая.jpg</x:v>
      </x:c>
    </x:row>
    <x:row r="17" ht="96" customHeight="1">
      <x:c r="A17" s="3" t="str">
        <x:v>V016</x:v>
      </x:c>
      <x:c r="B17" s="3" t="str">
        <x:v>Снеготаяние у музея</x:v>
      </x:c>
      <x:c r="C17" s="3" t="str">
        <x:v>Снеготаяние у музея</x:v>
      </x:c>
      <x:c r="D17" s="3" t="str">
        <x:v>Новый Кырлай, Арский район</x:v>
      </x:c>
      <x:c r="E17" s="3" t="str">
        <x:v>Объект/поселение; координаты частного владения не приводятся</x:v>
      </x:c>
      <x:c r="F17" s="3" t="str">
        <x:v>2024-03-28</x:v>
      </x:c>
      <x:c r="G17" s="3" t="str">
        <x:v>Метаданные и описание автора; часы камеры независимо не проверены</x:v>
      </x:c>
      <x:c r="H17" s="3" t="str"/>
      <x:c r="I17" s="3" t="str">
        <x:v>Engelberthumperdink</x:v>
      </x:c>
      <x:c r="J17" s="3" t="str">
        <x:v>Wikimedia Commons</x:v>
      </x:c>
      <x:c r="K17" s="3" t="str">
        <x:v>https://commons.wikimedia.org/wiki/File:Gabdulla_Tukay_Museum,_New_Kyrlai_(2024-03-28)_01.jpg</x:v>
      </x:c>
      <x:c r="L17" s="3" t="str">
        <x:v>https://upload.wikimedia.org/wikipedia/commons/e/e6/Gabdulla_Tukay_Museum,_New_Kyrlai_(2024-03-28)_01.jpg</x:v>
      </x:c>
      <x:c r="M17" s="3" t="str">
        <x:v>https://thumb.wikimedia.org/wikipedia/commons/thumb/e/e6/Gabdulla_Tukay_Museum,_New_Kyrlai_(2024-03-28)_01.jpg/960px-Gabdulla_Tukay_Museum,_New_Kyrlai_(2024-03-28)_01.jpg</x:v>
      </x:c>
      <x:c r="N17" s="3" t="str">
        <x:v>Документальное</x:v>
      </x:c>
      <x:c r="O17" s="3" t="str">
        <x:v>Пятна снега, мокрое мощение, открытые ступени, длинные тени</x:v>
      </x:c>
      <x:c r="P17" s="3" t="str">
        <x:v>Мощеная музейная площадь не аналог грунтового двора; это не повторный ракурс летнего водоема</x:v>
      </x:c>
      <x:c r="Q17" s="3" t="str">
        <x:v>[]</x:v>
      </x:c>
      <x:c r="R17" s="3" t="str">
        <x:v>["S116"]</x:v>
      </x:c>
      <x:c r="S17" s="3" t="str">
        <x:v>CC BY-SA 4.0</x:v>
      </x:c>
      <x:c r="T17" s="3" t="str"/>
      <x:c r="U17" s="3" t="str">
        <x:v>Изображение непосредственно просмотрено</x:v>
      </x:c>
      <x:c r="V17" s="3" t="str">
        <x:v>Только внешний референс; локальной копии нет</x:v>
      </x:c>
      <x:c r="W17" s="3" t="str"/>
      <x:c r="X17" s="3" t="str">
        <x:v>Оригинал высокого разрешения не скачан; работоспособность прямого URL независимо не подтверждена</x:v>
      </x:c>
      <x:c r="Y17" s="3" t="str">
        <x:v>https://commons.wikimedia.org/wiki/File:Gabdulla_Tukay_Museum,_New_Kyrlai_(2024-03-28)_01.jpg</x:v>
      </x:c>
    </x:row>
    <x:row r="18" ht="96" customHeight="1">
      <x:c r="A18" s="3" t="str">
        <x:v>V017</x:v>
      </x:c>
      <x:c r="B18" s="3" t="str">
        <x:v>Исторические фотографии экспедиции: с. 338–339 S001</x:v>
      </x:c>
      <x:c r="C18" s="3" t="str">
        <x:v>Исторические фотографии экспедиции: с. 338–339 S001</x:v>
      </x:c>
      <x:c r="D18" s="3" t="str">
        <x:v>Большие Кайбицы и касимовский материал: разные регионы; см. подписи S001</x:v>
      </x:c>
      <x:c r="E18" s="3" t="str">
        <x:v>Объект/поселение; координаты частного владения не приводятся</x:v>
      </x:c>
      <x:c r="F18" s="3" t="str"/>
      <x:c r="G18" s="3" t="str">
        <x:v>Не установлено</x:v>
      </x:c>
      <x:c r="H18" s="3" t="str"/>
      <x:c r="I18" s="3" t="str">
        <x:v>Авторы и архивы указаны в подписях исходной статьи</x:v>
      </x:c>
      <x:c r="J18" s="3" t="str"/>
      <x:c r="K18" s="3" t="str">
        <x:v>https://historicalethnology.org/wp-content/uploads/2021/12/Суслова.pdf#page=4</x:v>
      </x:c>
      <x:c r="L18" s="3" t="str"/>
      <x:c r="M18" s="3" t="str"/>
      <x:c r="N18" s="3" t="str">
        <x:v>Научная публикация</x:v>
      </x:c>
      <x:c r="O18" s="3" t="str">
        <x:v>Историческая полевая фиксация разных мест, в том числе Большие Кайбицы (1975) и касимовский материал (1985)</x:v>
      </x:c>
      <x:c r="P18" s="3" t="str">
        <x:v>Снимки относятся к разным регионам и десятилетиям; не референс современного двора Кырлая</x:v>
      </x:c>
      <x:c r="Q18" s="3" t="str">
        <x:v>[]</x:v>
      </x:c>
      <x:c r="R18" s="3" t="str">
        <x:v>["S117"]</x:v>
      </x:c>
      <x:c r="S18" s="3" t="str">
        <x:v>Статья размещена с CC BY 4.0; права на включенные архивные снимки отдельно не установлены</x:v>
      </x:c>
      <x:c r="T18" s="3" t="str"/>
      <x:c r="U18" s="3" t="str">
        <x:v>Изображение непосредственно просмотрено</x:v>
      </x:c>
      <x:c r="V18" s="3" t="str">
        <x:v>Только внешний референс; локальной копии нет</x:v>
      </x:c>
      <x:c r="W18" s="3" t="str"/>
      <x:c r="X18" s="3" t="str">
        <x:v>Оригинал высокого разрешения не скачан; работоспособность прямого URL независимо не подтверждена</x:v>
      </x:c>
      <x:c r="Y18" s="3" t="str">
        <x:v>https://historicalethnology.org/wp-content/uploads/2021/12/Суслова.pdf#page=4</x:v>
      </x:c>
    </x:row>
    <x:row r="19" ht="96" customHeight="1">
      <x:c r="A19" s="3" t="str">
        <x:v>V018</x:v>
      </x:c>
      <x:c r="B19" s="3" t="str">
        <x:v>Историческая экспедиционная иллюстрация: с. 745 S002</x:v>
      </x:c>
      <x:c r="C19" s="3" t="str">
        <x:v>Историческая экспедиционная иллюстрация: с. 745 S002</x:v>
      </x:c>
      <x:c r="D19" s="3" t="str">
        <x:v>Историческая экспедиционная география S002; не современный Кырлай</x:v>
      </x:c>
      <x:c r="E19" s="3" t="str">
        <x:v>Объект/поселение; координаты частного владения не приводятся</x:v>
      </x:c>
      <x:c r="F19" s="3" t="str">
        <x:v>1946 (описываемая экспедиция)</x:v>
      </x:c>
      <x:c r="G19" s="3" t="str">
        <x:v>Метаданные и описание автора; часы камеры независимо не проверены</x:v>
      </x:c>
      <x:c r="H19" s="3" t="str"/>
      <x:c r="I19" s="3" t="str">
        <x:v>По подписи в статье; отдельно не установлено</x:v>
      </x:c>
      <x:c r="J19" s="3" t="str"/>
      <x:c r="K19" s="3" t="str">
        <x:v>https://historicalethnology.org/wp-content/uploads/2024/10/ИЭ_5_2024_741-758.pdf#page=5</x:v>
      </x:c>
      <x:c r="L19" s="3" t="str"/>
      <x:c r="M19" s="3" t="str"/>
      <x:c r="N19" s="3" t="str">
        <x:v>Научная публикация</x:v>
      </x:c>
      <x:c r="O19" s="3" t="str">
        <x:v>Страница с визуальным материалом к истории обследований жилища</x:v>
      </x:c>
      <x:c r="P19" s="3" t="str">
        <x:v>Не обмер современного объекта; индивидуальные архивные права не проверены</x:v>
      </x:c>
      <x:c r="Q19" s="3" t="str">
        <x:v>[]</x:v>
      </x:c>
      <x:c r="R19" s="3" t="str">
        <x:v>["S118"]</x:v>
      </x:c>
      <x:c r="S19" s="3" t="str">
        <x:v>Статья CC BY 4.0; права на архивную иллюстрацию отдельно не установлены</x:v>
      </x:c>
      <x:c r="T19" s="3" t="str"/>
      <x:c r="U19" s="3" t="str">
        <x:v>Изображение непосредственно просмотрено</x:v>
      </x:c>
      <x:c r="V19" s="3" t="str">
        <x:v>Только внешний референс; локальной копии нет</x:v>
      </x:c>
      <x:c r="W19" s="3" t="str"/>
      <x:c r="X19" s="3" t="str">
        <x:v>Оригинал высокого разрешения не скачан; работоспособность прямого URL независимо не подтверждена</x:v>
      </x:c>
      <x:c r="Y19" s="3" t="str">
        <x:v>https://historicalethnology.org/wp-content/uploads/2024/10/ИЭ_5_2024_741-758.pdf#page=5</x:v>
      </x:c>
    </x:row>
  </x:sheetData>
  <x:pageMargins left="0.7" right="0.7" top="0.75" bottom="0.75" header="0.3" footer="0.3"/>
  <x:tableParts count="1">
    <x:tablePart xmlns:r="http://schemas.openxmlformats.org/officeDocument/2006/relationships" r:id="R0cc348849d7a415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23" hidden="0" customWidth="1"/>
    <x:col min="10" max="10" width="34" hidden="0" customWidth="1"/>
    <x:col min="11" max="11" width="23" hidden="0" customWidth="1"/>
    <x:col min="12" max="12" width="40" hidden="0" customWidth="1"/>
    <x:col min="13" max="13" width="40" hidden="0" customWidth="1"/>
  </x:cols>
  <x:sheetData>
    <x:row r="1" ht="42" customHeight="1">
      <x:c r="A1" s="8" t="str">
        <x:v>dimension_id</x:v>
      </x:c>
      <x:c r="B1" s="8" t="str">
        <x:v>object_id</x:v>
      </x:c>
      <x:c r="C1" s="8" t="str">
        <x:v>parameter</x:v>
      </x:c>
      <x:c r="D1" s="8" t="str">
        <x:v>unit</x:v>
      </x:c>
      <x:c r="E1" s="8" t="str">
        <x:v>observed_value</x:v>
      </x:c>
      <x:c r="F1" s="8" t="str">
        <x:v>proposed_game_value</x:v>
      </x:c>
      <x:c r="G1" s="8" t="str">
        <x:v>method</x:v>
      </x:c>
      <x:c r="H1" s="8" t="str">
        <x:v>precision_or_error</x:v>
      </x:c>
      <x:c r="I1" s="8" t="str">
        <x:v>evidence_status</x:v>
      </x:c>
      <x:c r="J1" s="8" t="str">
        <x:v>date_of_material</x:v>
      </x:c>
      <x:c r="K1" s="8" t="str">
        <x:v>source_ids</x:v>
      </x:c>
      <x:c r="L1" s="8" t="str">
        <x:v>limits</x:v>
      </x:c>
      <x:c r="M1" s="8" t="str">
        <x:v>source_urls</x:v>
      </x:c>
    </x:row>
    <x:row r="2" ht="96" customHeight="1">
      <x:c r="A2" s="3" t="str">
        <x:v>D001</x:v>
      </x:c>
      <x:c r="B2" s="3" t="str">
        <x:v>ST01</x:v>
      </x:c>
      <x:c r="C2" s="3" t="str">
        <x:v>Проезжая часть</x:v>
      </x:c>
      <x:c r="D2" s="3" t="str">
        <x:v>м</x:v>
      </x:c>
      <x:c r="E2" s="3" t="str"/>
      <x:c r="F2" s="3" t="n">
        <x:v>4.5</x:v>
      </x:c>
      <x:c r="G2" s="3" t="str">
        <x:v>Проектное назначение</x:v>
      </x:c>
      <x:c r="H2" s="3" t="str">
        <x:v>Не погрешность измерения: число задано</x:v>
      </x:c>
      <x:c r="I2" s="3" t="str">
        <x:v>Предложено для игры</x:v>
      </x:c>
      <x:c r="J2" s="3" t="str"/>
      <x:c r="K2" s="3" t="str">
        <x:v>[]</x:v>
      </x:c>
      <x:c r="L2" s="3" t="str">
        <x:v>Не обмер и не норматив</x:v>
      </x:c>
      <x:c r="M2" s="3" t="str"/>
    </x:row>
    <x:row r="3" ht="96" customHeight="1">
      <x:c r="A3" s="3" t="str">
        <x:v>D002</x:v>
      </x:c>
      <x:c r="B3" s="3" t="str">
        <x:v>ST01</x:v>
      </x:c>
      <x:c r="C3" s="3" t="str">
        <x:v>Обочина с каждой стороны</x:v>
      </x:c>
      <x:c r="D3" s="3" t="str">
        <x:v>м</x:v>
      </x:c>
      <x:c r="E3" s="3" t="str"/>
      <x:c r="F3" s="3" t="n">
        <x:v>0.75</x:v>
      </x:c>
      <x:c r="G3" s="3" t="str">
        <x:v>Проектное назначение</x:v>
      </x:c>
      <x:c r="H3" s="3" t="str">
        <x:v>Задано</x:v>
      </x:c>
      <x:c r="I3" s="3" t="str">
        <x:v>Предложено для игры</x:v>
      </x:c>
      <x:c r="J3" s="3" t="str"/>
      <x:c r="K3" s="3" t="str">
        <x:v>[]</x:v>
      </x:c>
      <x:c r="L3" s="3" t="str"/>
      <x:c r="M3" s="3" t="str"/>
    </x:row>
    <x:row r="4" ht="96" customHeight="1">
      <x:c r="A4" s="3" t="str">
        <x:v>D003</x:v>
      </x:c>
      <x:c r="B4" s="3" t="str">
        <x:v>ST01</x:v>
      </x:c>
      <x:c r="C4" s="3" t="str">
        <x:v>Канава в плане с каждой стороны</x:v>
      </x:c>
      <x:c r="D4" s="3" t="str">
        <x:v>м</x:v>
      </x:c>
      <x:c r="E4" s="3" t="str"/>
      <x:c r="F4" s="3" t="n">
        <x:v>1</x:v>
      </x:c>
      <x:c r="G4" s="3" t="str">
        <x:v>Проектное назначение</x:v>
      </x:c>
      <x:c r="H4" s="3" t="str">
        <x:v>Задано</x:v>
      </x:c>
      <x:c r="I4" s="3" t="str">
        <x:v>Предложено для игры</x:v>
      </x:c>
      <x:c r="J4" s="3" t="str"/>
      <x:c r="K4" s="3" t="str">
        <x:v>[]</x:v>
      </x:c>
      <x:c r="L4" s="3" t="str">
        <x:v>Глубина отдельно, по фото не получена</x:v>
      </x:c>
      <x:c r="M4" s="3" t="str"/>
    </x:row>
    <x:row r="5" ht="96" customHeight="1">
      <x:c r="A5" s="3" t="str">
        <x:v>D004</x:v>
      </x:c>
      <x:c r="B5" s="3" t="str">
        <x:v>ST01</x:v>
      </x:c>
      <x:c r="C5" s="3" t="str">
        <x:v>Зеленая полоса до ограждения с каждой стороны</x:v>
      </x:c>
      <x:c r="D5" s="3" t="str">
        <x:v>м</x:v>
      </x:c>
      <x:c r="E5" s="3" t="str"/>
      <x:c r="F5" s="3" t="n">
        <x:v>4</x:v>
      </x:c>
      <x:c r="G5" s="3" t="str">
        <x:v>Проектное назначение</x:v>
      </x:c>
      <x:c r="H5" s="3" t="str">
        <x:v>Задано</x:v>
      </x:c>
      <x:c r="I5" s="3" t="str">
        <x:v>Предложено для игры</x:v>
      </x:c>
      <x:c r="J5" s="3" t="str"/>
      <x:c r="K5" s="3" t="str">
        <x:v>[]</x:v>
      </x:c>
      <x:c r="L5" s="3" t="str">
        <x:v>Пешеходный след внутри полосы, не еще одна добавочная ширина</x:v>
      </x:c>
      <x:c r="M5" s="3" t="str"/>
    </x:row>
    <x:row r="6" ht="96" customHeight="1">
      <x:c r="A6" s="3" t="str">
        <x:v>D005</x:v>
      </x:c>
      <x:c r="B6" s="3" t="str">
        <x:v>ST01</x:v>
      </x:c>
      <x:c r="C6" s="3" t="str">
        <x:v>Между ограждениями</x:v>
      </x:c>
      <x:c r="D6" s="3" t="str">
        <x:v>м</x:v>
      </x:c>
      <x:c r="E6" s="3" t="str"/>
      <x:c r="F6" s="3" t="n">
        <x:v>16</x:v>
      </x:c>
      <x:c r="G6" s="3" t="str">
        <x:v>Сумма 4,5+2×(0,75+1+4)</x:v>
      </x:c>
      <x:c r="H6" s="3" t="str">
        <x:v>Точная арифметика проекта</x:v>
      </x:c>
      <x:c r="I6" s="3" t="str">
        <x:v>Предложено для игры</x:v>
      </x:c>
      <x:c r="J6" s="3" t="str"/>
      <x:c r="K6" s="3" t="str">
        <x:v>[]</x:v>
      </x:c>
      <x:c r="L6" s="3" t="str"/>
      <x:c r="M6" s="3" t="str"/>
    </x:row>
    <x:row r="7" ht="96" customHeight="1">
      <x:c r="A7" s="3" t="str">
        <x:v>D006</x:v>
      </x:c>
      <x:c r="B7" s="3" t="str">
        <x:v>ST01</x:v>
      </x:c>
      <x:c r="C7" s="3" t="str">
        <x:v>Между линиями фасадов</x:v>
      </x:c>
      <x:c r="D7" s="3" t="str">
        <x:v>м</x:v>
      </x:c>
      <x:c r="E7" s="3" t="str"/>
      <x:c r="F7" s="3" t="n">
        <x:v>22</x:v>
      </x:c>
      <x:c r="G7" s="3" t="str">
        <x:v>16+3+3</x:v>
      </x:c>
      <x:c r="H7" s="3" t="str">
        <x:v>Точная арифметика проекта</x:v>
      </x:c>
      <x:c r="I7" s="3" t="str">
        <x:v>Предложено для игры</x:v>
      </x:c>
      <x:c r="J7" s="3" t="str"/>
      <x:c r="K7" s="3" t="str">
        <x:v>[]</x:v>
      </x:c>
      <x:c r="L7" s="3" t="str">
        <x:v>Только симметричный участок ST01</x:v>
      </x:c>
      <x:c r="M7" s="3" t="str"/>
    </x:row>
    <x:row r="8" ht="96" customHeight="1">
      <x:c r="A8" s="3" t="str">
        <x:v>D007</x:v>
      </x:c>
      <x:c r="B8" s="3" t="str">
        <x:v>ST02</x:v>
      </x:c>
      <x:c r="C8" s="3" t="str">
        <x:v>Между ограждениями старого бокового проезда</x:v>
      </x:c>
      <x:c r="D8" s="3" t="str">
        <x:v>м</x:v>
      </x:c>
      <x:c r="E8" s="3" t="str"/>
      <x:c r="F8" s="3" t="n">
        <x:v>12</x:v>
      </x:c>
      <x:c r="G8" s="3" t="str">
        <x:v>3,5+2×(0,5+0,75+3)</x:v>
      </x:c>
      <x:c r="H8" s="3" t="str">
        <x:v>Точная арифметика проекта</x:v>
      </x:c>
      <x:c r="I8" s="3" t="str">
        <x:v>Предложено для игры</x:v>
      </x:c>
      <x:c r="J8" s="3" t="str"/>
      <x:c r="K8" s="3" t="str">
        <x:v>[]</x:v>
      </x:c>
      <x:c r="L8" s="3" t="str"/>
      <x:c r="M8" s="3" t="str"/>
    </x:row>
    <x:row r="9" ht="96" customHeight="1">
      <x:c r="A9" s="3" t="str">
        <x:v>D008</x:v>
      </x:c>
      <x:c r="B9" s="3" t="str">
        <x:v>ST03</x:v>
      </x:c>
      <x:c r="C9" s="3" t="str">
        <x:v>Между ограждениями обновленного участка</x:v>
      </x:c>
      <x:c r="D9" s="3" t="str">
        <x:v>м</x:v>
      </x:c>
      <x:c r="E9" s="3" t="str"/>
      <x:c r="F9" s="3" t="n">
        <x:v>18</x:v>
      </x:c>
      <x:c r="G9" s="3" t="str">
        <x:v>5,5+2×(0,75+1+3,75)</x:v>
      </x:c>
      <x:c r="H9" s="3" t="str">
        <x:v>Точная арифметика проекта</x:v>
      </x:c>
      <x:c r="I9" s="3" t="str">
        <x:v>Предложено для игры</x:v>
      </x:c>
      <x:c r="J9" s="3" t="str"/>
      <x:c r="K9" s="3" t="str">
        <x:v>[]</x:v>
      </x:c>
      <x:c r="L9" s="3" t="str">
        <x:v>Одна пешеходная полоса 1,2 м включена в зеленую полосу, не прибавлена к итогу</x:v>
      </x:c>
      <x:c r="M9" s="3" t="str"/>
    </x:row>
    <x:row r="10" ht="96" customHeight="1">
      <x:c r="A10" s="3" t="str">
        <x:v>D009</x:v>
      </x:c>
      <x:c r="B10" s="3" t="str">
        <x:v>H02</x:v>
      </x:c>
      <x:c r="C10" s="3" t="str">
        <x:v>Ширина участка</x:v>
      </x:c>
      <x:c r="D10" s="3" t="str">
        <x:v>м</x:v>
      </x:c>
      <x:c r="E10" s="3" t="str"/>
      <x:c r="F10" s="3" t="n">
        <x:v>22</x:v>
      </x:c>
      <x:c r="G10" s="3" t="str">
        <x:v>Проектное назначение</x:v>
      </x:c>
      <x:c r="H10" s="3" t="str">
        <x:v>Задано; не оценка реального объекта</x:v>
      </x:c>
      <x:c r="I10" s="3" t="str">
        <x:v>Предложено для игры</x:v>
      </x:c>
      <x:c r="J10" s="3" t="str"/>
      <x:c r="K10" s="3" t="str">
        <x:v>[]</x:v>
      </x:c>
      <x:c r="L10" s="3" t="str">
        <x:v>Проверить пространственную пригодность; историческая типичность не заявлена</x:v>
      </x:c>
      <x:c r="M10" s="3" t="str"/>
    </x:row>
    <x:row r="11" ht="96" customHeight="1">
      <x:c r="A11" s="3" t="str">
        <x:v>D010</x:v>
      </x:c>
      <x:c r="B11" s="3" t="str">
        <x:v>H02</x:v>
      </x:c>
      <x:c r="C11" s="3" t="str">
        <x:v>Глубина участка</x:v>
      </x:c>
      <x:c r="D11" s="3" t="str">
        <x:v>м</x:v>
      </x:c>
      <x:c r="E11" s="3" t="str"/>
      <x:c r="F11" s="3" t="n">
        <x:v>55</x:v>
      </x:c>
      <x:c r="G11" s="3" t="str">
        <x:v>Проектное назначение</x:v>
      </x:c>
      <x:c r="H11" s="3" t="str">
        <x:v>Задано; не оценка реального объекта</x:v>
      </x:c>
      <x:c r="I11" s="3" t="str">
        <x:v>Предложено для игры</x:v>
      </x:c>
      <x:c r="J11" s="3" t="str"/>
      <x:c r="K11" s="3" t="str">
        <x:v>[]</x:v>
      </x:c>
      <x:c r="L11" s="3" t="str">
        <x:v>Проверить пространственную пригодность; историческая типичность не заявлена</x:v>
      </x:c>
      <x:c r="M11" s="3" t="str"/>
    </x:row>
    <x:row r="12" ht="96" customHeight="1">
      <x:c r="A12" s="3" t="str">
        <x:v>D011</x:v>
      </x:c>
      <x:c r="B12" s="3" t="str">
        <x:v>H02</x:v>
      </x:c>
      <x:c r="C12" s="3" t="str">
        <x:v>Фронт палисадника</x:v>
      </x:c>
      <x:c r="D12" s="3" t="str">
        <x:v>м</x:v>
      </x:c>
      <x:c r="E12" s="3" t="str"/>
      <x:c r="F12" s="3" t="n">
        <x:v>10</x:v>
      </x:c>
      <x:c r="G12" s="3" t="str">
        <x:v>Проектное назначение</x:v>
      </x:c>
      <x:c r="H12" s="3" t="str">
        <x:v>Задано; не оценка реального объекта</x:v>
      </x:c>
      <x:c r="I12" s="3" t="str">
        <x:v>Предложено для игры</x:v>
      </x:c>
      <x:c r="J12" s="3" t="str"/>
      <x:c r="K12" s="3" t="str">
        <x:v>[]</x:v>
      </x:c>
      <x:c r="L12" s="3" t="str">
        <x:v>Проверить пространственную пригодность; историческая типичность не заявлена</x:v>
      </x:c>
      <x:c r="M12" s="3" t="str"/>
    </x:row>
    <x:row r="13" ht="96" customHeight="1">
      <x:c r="A13" s="3" t="str">
        <x:v>D012</x:v>
      </x:c>
      <x:c r="B13" s="3" t="str">
        <x:v>H02</x:v>
      </x:c>
      <x:c r="C13" s="3" t="str">
        <x:v>Глубина палисадника</x:v>
      </x:c>
      <x:c r="D13" s="3" t="str">
        <x:v>м</x:v>
      </x:c>
      <x:c r="E13" s="3" t="str"/>
      <x:c r="F13" s="3" t="n">
        <x:v>3</x:v>
      </x:c>
      <x:c r="G13" s="3" t="str">
        <x:v>Проектное назначение</x:v>
      </x:c>
      <x:c r="H13" s="3" t="str">
        <x:v>Задано; не оценка реального объекта</x:v>
      </x:c>
      <x:c r="I13" s="3" t="str">
        <x:v>Предложено для игры</x:v>
      </x:c>
      <x:c r="J13" s="3" t="str"/>
      <x:c r="K13" s="3" t="str">
        <x:v>[]</x:v>
      </x:c>
      <x:c r="L13" s="3" t="str">
        <x:v>Проверить пространственную пригодность; историческая типичность не заявлена</x:v>
      </x:c>
      <x:c r="M13" s="3" t="str"/>
    </x:row>
    <x:row r="14" ht="96" customHeight="1">
      <x:c r="A14" s="3" t="str">
        <x:v>D013</x:v>
      </x:c>
      <x:c r="B14" s="3" t="str">
        <x:v>H02</x:v>
      </x:c>
      <x:c r="C14" s="3" t="str">
        <x:v>Ширина дома по наружному контуру</x:v>
      </x:c>
      <x:c r="D14" s="3" t="str">
        <x:v>м</x:v>
      </x:c>
      <x:c r="E14" s="3" t="str"/>
      <x:c r="F14" s="3" t="n">
        <x:v>10</x:v>
      </x:c>
      <x:c r="G14" s="3" t="str">
        <x:v>Проектное назначение</x:v>
      </x:c>
      <x:c r="H14" s="3" t="str">
        <x:v>Задано; не оценка реального объекта</x:v>
      </x:c>
      <x:c r="I14" s="3" t="str">
        <x:v>Предложено для игры</x:v>
      </x:c>
      <x:c r="J14" s="3" t="str"/>
      <x:c r="K14" s="3" t="str">
        <x:v>[]</x:v>
      </x:c>
      <x:c r="L14" s="3" t="str">
        <x:v>Проверить пространственную пригодность; историческая типичность не заявлена</x:v>
      </x:c>
      <x:c r="M14" s="3" t="str"/>
    </x:row>
    <x:row r="15" ht="96" customHeight="1">
      <x:c r="A15" s="3" t="str">
        <x:v>D014</x:v>
      </x:c>
      <x:c r="B15" s="3" t="str">
        <x:v>H02</x:v>
      </x:c>
      <x:c r="C15" s="3" t="str">
        <x:v>Глубина дома по наружному контуру</x:v>
      </x:c>
      <x:c r="D15" s="3" t="str">
        <x:v>м</x:v>
      </x:c>
      <x:c r="E15" s="3" t="str"/>
      <x:c r="F15" s="3" t="n">
        <x:v>8</x:v>
      </x:c>
      <x:c r="G15" s="3" t="str">
        <x:v>Проектное назначение</x:v>
      </x:c>
      <x:c r="H15" s="3" t="str">
        <x:v>Задано; не оценка реального объекта</x:v>
      </x:c>
      <x:c r="I15" s="3" t="str">
        <x:v>Предложено для игры</x:v>
      </x:c>
      <x:c r="J15" s="3" t="str"/>
      <x:c r="K15" s="3" t="str">
        <x:v>[]</x:v>
      </x:c>
      <x:c r="L15" s="3" t="str">
        <x:v>Проверить пространственную пригодность; историческая типичность не заявлена</x:v>
      </x:c>
      <x:c r="M15" s="3" t="str"/>
    </x:row>
    <x:row r="16" ht="96" customHeight="1">
      <x:c r="A16" s="3" t="str">
        <x:v>D015</x:v>
      </x:c>
      <x:c r="B16" s="3" t="str">
        <x:v>H02</x:v>
      </x:c>
      <x:c r="C16" s="3" t="str">
        <x:v>Ширина ворот в свету</x:v>
      </x:c>
      <x:c r="D16" s="3" t="str">
        <x:v>м</x:v>
      </x:c>
      <x:c r="E16" s="3" t="str"/>
      <x:c r="F16" s="3" t="n">
        <x:v>3.5</x:v>
      </x:c>
      <x:c r="G16" s="3" t="str">
        <x:v>Проектное назначение</x:v>
      </x:c>
      <x:c r="H16" s="3" t="str">
        <x:v>Задано; не оценка реального объекта</x:v>
      </x:c>
      <x:c r="I16" s="3" t="str">
        <x:v>Предложено для игры</x:v>
      </x:c>
      <x:c r="J16" s="3" t="str"/>
      <x:c r="K16" s="3" t="str">
        <x:v>[]</x:v>
      </x:c>
      <x:c r="L16" s="3" t="str">
        <x:v>Проверить пространственную пригодность; историческая типичность не заявлена</x:v>
      </x:c>
      <x:c r="M16" s="3" t="str"/>
    </x:row>
    <x:row r="17" ht="96" customHeight="1">
      <x:c r="A17" s="3" t="str">
        <x:v>D016</x:v>
      </x:c>
      <x:c r="B17" s="3" t="str">
        <x:v>H02</x:v>
      </x:c>
      <x:c r="C17" s="3" t="str">
        <x:v>Ширина калитки в свету</x:v>
      </x:c>
      <x:c r="D17" s="3" t="str">
        <x:v>м</x:v>
      </x:c>
      <x:c r="E17" s="3" t="str"/>
      <x:c r="F17" s="3" t="n">
        <x:v>1</x:v>
      </x:c>
      <x:c r="G17" s="3" t="str">
        <x:v>Проектное назначение</x:v>
      </x:c>
      <x:c r="H17" s="3" t="str">
        <x:v>Задано; не оценка реального объекта</x:v>
      </x:c>
      <x:c r="I17" s="3" t="str">
        <x:v>Предложено для игры</x:v>
      </x:c>
      <x:c r="J17" s="3" t="str"/>
      <x:c r="K17" s="3" t="str">
        <x:v>[]</x:v>
      </x:c>
      <x:c r="L17" s="3" t="str">
        <x:v>Проверить пространственную пригодность; историческая типичность не заявлена</x:v>
      </x:c>
      <x:c r="M17" s="3" t="str"/>
    </x:row>
    <x:row r="18" ht="96" customHeight="1">
      <x:c r="A18" s="3" t="str">
        <x:v>D017</x:v>
      </x:c>
      <x:c r="B18" s="3" t="str">
        <x:v>H02</x:v>
      </x:c>
      <x:c r="C18" s="3" t="str">
        <x:v>Ширина проектной проездной полосы справа, x=17…22</x:v>
      </x:c>
      <x:c r="D18" s="3" t="str">
        <x:v>м</x:v>
      </x:c>
      <x:c r="E18" s="3" t="str"/>
      <x:c r="F18" s="3" t="n">
        <x:v>5</x:v>
      </x:c>
      <x:c r="G18" s="3" t="str">
        <x:v>Проектное назначение</x:v>
      </x:c>
      <x:c r="H18" s="3" t="str">
        <x:v>Задано; не оценка реального объекта</x:v>
      </x:c>
      <x:c r="I18" s="3" t="str">
        <x:v>Предложено для игры</x:v>
      </x:c>
      <x:c r="J18" s="3" t="str"/>
      <x:c r="K18" s="3" t="str">
        <x:v>[]</x:v>
      </x:c>
      <x:c r="L18" s="3" t="str">
        <x:v>Проверить пространственную пригодность; историческая типичность не заявлена</x:v>
      </x:c>
      <x:c r="M18" s="3" t="str"/>
    </x:row>
    <x:row r="19" ht="96" customHeight="1">
      <x:c r="A19" s="3" t="str">
        <x:v>D018</x:v>
      </x:c>
      <x:c r="B19" s="3" t="str">
        <x:v>H02</x:v>
      </x:c>
      <x:c r="C19" s="3" t="str">
        <x:v>Высота ограждения</x:v>
      </x:c>
      <x:c r="D19" s="3" t="str">
        <x:v>м</x:v>
      </x:c>
      <x:c r="E19" s="3" t="str"/>
      <x:c r="F19" s="3" t="n">
        <x:v>1.6</x:v>
      </x:c>
      <x:c r="G19" s="3" t="str">
        <x:v>Проектное назначение</x:v>
      </x:c>
      <x:c r="H19" s="3" t="str">
        <x:v>Задано; не оценка реального объекта</x:v>
      </x:c>
      <x:c r="I19" s="3" t="str">
        <x:v>Предложено для игры</x:v>
      </x:c>
      <x:c r="J19" s="3" t="str"/>
      <x:c r="K19" s="3" t="str">
        <x:v>[]</x:v>
      </x:c>
      <x:c r="L19" s="3" t="str">
        <x:v>Проверить пространственную пригодность; историческая типичность не заявлена</x:v>
      </x:c>
      <x:c r="M19" s="3" t="str"/>
    </x:row>
    <x:row r="20" ht="96" customHeight="1">
      <x:c r="A20" s="3" t="str">
        <x:v>D019</x:v>
      </x:c>
      <x:c r="B20" s="3" t="str">
        <x:v>H02</x:v>
      </x:c>
      <x:c r="C20" s="3" t="str">
        <x:v>Высота потолка</x:v>
      </x:c>
      <x:c r="D20" s="3" t="str">
        <x:v>м</x:v>
      </x:c>
      <x:c r="E20" s="3" t="str"/>
      <x:c r="F20" s="3" t="n">
        <x:v>2.6</x:v>
      </x:c>
      <x:c r="G20" s="3" t="str">
        <x:v>Проектное назначение</x:v>
      </x:c>
      <x:c r="H20" s="3" t="str">
        <x:v>Задано; не оценка реального объекта</x:v>
      </x:c>
      <x:c r="I20" s="3" t="str">
        <x:v>Предложено для игры</x:v>
      </x:c>
      <x:c r="J20" s="3" t="str"/>
      <x:c r="K20" s="3" t="str">
        <x:v>[]</x:v>
      </x:c>
      <x:c r="L20" s="3" t="str">
        <x:v>Проверить пространственную пригодность; историческая типичность не заявлена</x:v>
      </x:c>
      <x:c r="M20" s="3" t="str"/>
    </x:row>
    <x:row r="21" ht="96" customHeight="1">
      <x:c r="A21" s="3" t="str">
        <x:v>D020</x:v>
      </x:c>
      <x:c r="B21" s="3" t="str">
        <x:v>H02</x:v>
      </x:c>
      <x:c r="C21" s="3" t="str">
        <x:v>Канава: глубина ниже обочины</x:v>
      </x:c>
      <x:c r="D21" s="3" t="str">
        <x:v>м</x:v>
      </x:c>
      <x:c r="E21" s="3" t="str"/>
      <x:c r="F21" s="3" t="n">
        <x:v>0.35</x:v>
      </x:c>
      <x:c r="G21" s="3" t="str">
        <x:v>Проектное назначение</x:v>
      </x:c>
      <x:c r="H21" s="3" t="str">
        <x:v>Задано; не оценка реального объекта</x:v>
      </x:c>
      <x:c r="I21" s="3" t="str">
        <x:v>Предложено для игры</x:v>
      </x:c>
      <x:c r="J21" s="3" t="str"/>
      <x:c r="K21" s="3" t="str">
        <x:v>[]</x:v>
      </x:c>
      <x:c r="L21" s="3" t="str">
        <x:v>Проверить пространственную пригодность; историческая типичность не заявлена</x:v>
      </x:c>
      <x:c r="M21" s="3" t="str"/>
    </x:row>
    <x:row r="22" ht="96" customHeight="1">
      <x:c r="A22" s="3" t="str">
        <x:v>D021</x:v>
      </x:c>
      <x:c r="B22" s="3" t="str">
        <x:v>H02</x:v>
      </x:c>
      <x:c r="C22" s="3" t="str">
        <x:v>Баня: ширина</x:v>
      </x:c>
      <x:c r="D22" s="3" t="str">
        <x:v>м</x:v>
      </x:c>
      <x:c r="E22" s="3" t="str"/>
      <x:c r="F22" s="3" t="n">
        <x:v>4</x:v>
      </x:c>
      <x:c r="G22" s="3" t="str">
        <x:v>Проектное назначение</x:v>
      </x:c>
      <x:c r="H22" s="3" t="str">
        <x:v>Задано; не оценка реального объекта</x:v>
      </x:c>
      <x:c r="I22" s="3" t="str">
        <x:v>Предложено для игры</x:v>
      </x:c>
      <x:c r="J22" s="3" t="str"/>
      <x:c r="K22" s="3" t="str">
        <x:v>[]</x:v>
      </x:c>
      <x:c r="L22" s="3" t="str">
        <x:v>Проверить пространственную пригодность; историческая типичность не заявлена</x:v>
      </x:c>
      <x:c r="M22" s="3" t="str"/>
    </x:row>
    <x:row r="23" ht="96" customHeight="1">
      <x:c r="A23" s="3" t="str">
        <x:v>D022</x:v>
      </x:c>
      <x:c r="B23" s="3" t="str">
        <x:v>H02</x:v>
      </x:c>
      <x:c r="C23" s="3" t="str">
        <x:v>Баня: глубина</x:v>
      </x:c>
      <x:c r="D23" s="3" t="str">
        <x:v>м</x:v>
      </x:c>
      <x:c r="E23" s="3" t="str"/>
      <x:c r="F23" s="3" t="n">
        <x:v>5</x:v>
      </x:c>
      <x:c r="G23" s="3" t="str">
        <x:v>Проектное назначение</x:v>
      </x:c>
      <x:c r="H23" s="3" t="str">
        <x:v>Задано; не оценка реального объекта</x:v>
      </x:c>
      <x:c r="I23" s="3" t="str">
        <x:v>Предложено для игры</x:v>
      </x:c>
      <x:c r="J23" s="3" t="str"/>
      <x:c r="K23" s="3" t="str">
        <x:v>[]</x:v>
      </x:c>
      <x:c r="L23" s="3" t="str">
        <x:v>Проверить пространственную пригодность; историческая типичность не заявлена</x:v>
      </x:c>
      <x:c r="M23" s="3" t="str"/>
    </x:row>
    <x:row r="24" ht="96" customHeight="1">
      <x:c r="A24" s="3" t="str">
        <x:v>D023</x:v>
      </x:c>
      <x:c r="B24" s="3" t="str">
        <x:v>H02</x:v>
      </x:c>
      <x:c r="C24" s="3" t="str">
        <x:v>Огород: глубина выделенной зоны</x:v>
      </x:c>
      <x:c r="D24" s="3" t="str">
        <x:v>м</x:v>
      </x:c>
      <x:c r="E24" s="3" t="str"/>
      <x:c r="F24" s="3" t="n">
        <x:v>20</x:v>
      </x:c>
      <x:c r="G24" s="3" t="str">
        <x:v>Проектное назначение</x:v>
      </x:c>
      <x:c r="H24" s="3" t="str">
        <x:v>Задано; не оценка реального объекта</x:v>
      </x:c>
      <x:c r="I24" s="3" t="str">
        <x:v>Предложено для игры</x:v>
      </x:c>
      <x:c r="J24" s="3" t="str"/>
      <x:c r="K24" s="3" t="str">
        <x:v>[]</x:v>
      </x:c>
      <x:c r="L24" s="3" t="str">
        <x:v>Проверить пространственную пригодность; историческая типичность не заявлена</x:v>
      </x:c>
      <x:c r="M24" s="3" t="str"/>
    </x:row>
    <x:row r="25" ht="96" customHeight="1">
      <x:c r="A25" s="3" t="str">
        <x:v>D024</x:v>
      </x:c>
      <x:c r="B25" s="3" t="str">
        <x:v>SC09</x:v>
      </x:c>
      <x:c r="C25" s="3" t="str">
        <x:v>Пешеходная тропа к воде</x:v>
      </x:c>
      <x:c r="D25" s="3" t="str">
        <x:v>м</x:v>
      </x:c>
      <x:c r="E25" s="3" t="str"/>
      <x:c r="F25" s="3" t="n">
        <x:v>1.2</x:v>
      </x:c>
      <x:c r="G25" s="3" t="str">
        <x:v>Проектное назначение</x:v>
      </x:c>
      <x:c r="H25" s="3" t="str">
        <x:v>Задано; не оценка реального объекта</x:v>
      </x:c>
      <x:c r="I25" s="3" t="str">
        <x:v>Предложено для игры</x:v>
      </x:c>
      <x:c r="J25" s="3" t="str"/>
      <x:c r="K25" s="3" t="str">
        <x:v>[]</x:v>
      </x:c>
      <x:c r="L25" s="3" t="str">
        <x:v>Проверить пространственную пригодность; историческая типичность не заявлена</x:v>
      </x:c>
      <x:c r="M25" s="3" t="str"/>
    </x:row>
    <x:row r="26" ht="96" customHeight="1">
      <x:c r="A26" s="3" t="str">
        <x:v>D025</x:v>
      </x:c>
      <x:c r="B26" s="3" t="str">
        <x:v>SC11</x:v>
      </x:c>
      <x:c r="C26" s="3" t="str">
        <x:v>Полоса травянистой опушки</x:v>
      </x:c>
      <x:c r="D26" s="3" t="str">
        <x:v>м</x:v>
      </x:c>
      <x:c r="E26" s="3" t="str"/>
      <x:c r="F26" s="3" t="n">
        <x:v>15</x:v>
      </x:c>
      <x:c r="G26" s="3" t="str">
        <x:v>Проектное назначение</x:v>
      </x:c>
      <x:c r="H26" s="3" t="str">
        <x:v>Задано; не оценка реального объекта</x:v>
      </x:c>
      <x:c r="I26" s="3" t="str">
        <x:v>Предложено для игры</x:v>
      </x:c>
      <x:c r="J26" s="3" t="str"/>
      <x:c r="K26" s="3" t="str">
        <x:v>[]</x:v>
      </x:c>
      <x:c r="L26" s="3" t="str">
        <x:v>Проверить пространственную пригодность; историческая типичность не заявлена</x:v>
      </x:c>
      <x:c r="M26" s="3" t="str"/>
    </x:row>
    <x:row r="27" ht="96" customHeight="1">
      <x:c r="A27" s="3" t="str">
        <x:v>D026</x:v>
      </x:c>
      <x:c r="B27" s="3" t="str">
        <x:v>SC12</x:v>
      </x:c>
      <x:c r="C27" s="3" t="str">
        <x:v>Тропа в лесном фрагменте</x:v>
      </x:c>
      <x:c r="D27" s="3" t="str">
        <x:v>м</x:v>
      </x:c>
      <x:c r="E27" s="3" t="str"/>
      <x:c r="F27" s="3" t="n">
        <x:v>1.2</x:v>
      </x:c>
      <x:c r="G27" s="3" t="str">
        <x:v>Проектное назначение</x:v>
      </x:c>
      <x:c r="H27" s="3" t="str">
        <x:v>Задано; не оценка реального объекта</x:v>
      </x:c>
      <x:c r="I27" s="3" t="str">
        <x:v>Предложено для игры</x:v>
      </x:c>
      <x:c r="J27" s="3" t="str"/>
      <x:c r="K27" s="3" t="str">
        <x:v>[]</x:v>
      </x:c>
      <x:c r="L27" s="3" t="str">
        <x:v>Проверить пространственную пригодность; историческая типичность не заявлена</x:v>
      </x:c>
      <x:c r="M27" s="3" t="str"/>
    </x:row>
    <x:row r="28" ht="96" customHeight="1">
      <x:c r="A28" s="3" t="str">
        <x:v>D027</x:v>
      </x:c>
      <x:c r="B28" s="3" t="str">
        <x:v>SC09</x:v>
      </x:c>
      <x:c r="C28" s="3" t="str">
        <x:v>Ширина модельного ручья</x:v>
      </x:c>
      <x:c r="D28" s="3" t="str">
        <x:v>м</x:v>
      </x:c>
      <x:c r="E28" s="3" t="str"/>
      <x:c r="F28" s="3" t="n">
        <x:v>2</x:v>
      </x:c>
      <x:c r="G28" s="3" t="str">
        <x:v>Проектное назначение</x:v>
      </x:c>
      <x:c r="H28" s="3" t="str">
        <x:v>Задано; не оценка реального объекта</x:v>
      </x:c>
      <x:c r="I28" s="3" t="str">
        <x:v>Предложено для игры</x:v>
      </x:c>
      <x:c r="J28" s="3" t="str"/>
      <x:c r="K28" s="3" t="str">
        <x:v>[]</x:v>
      </x:c>
      <x:c r="L28" s="3" t="str">
        <x:v>Проверить пространственную пригодность; историческая типичность не заявлена</x:v>
      </x:c>
      <x:c r="M28" s="3" t="str"/>
    </x:row>
    <x:row r="29" ht="96" customHeight="1">
      <x:c r="A29" s="3" t="str">
        <x:v>D028</x:v>
      </x:c>
      <x:c r="B29" s="3" t="str">
        <x:v>SC09</x:v>
      </x:c>
      <x:c r="C29" s="3" t="str">
        <x:v>Ширина модельного мостика</x:v>
      </x:c>
      <x:c r="D29" s="3" t="str">
        <x:v>м</x:v>
      </x:c>
      <x:c r="E29" s="3" t="str"/>
      <x:c r="F29" s="3" t="n">
        <x:v>1.5</x:v>
      </x:c>
      <x:c r="G29" s="3" t="str">
        <x:v>Проектное назначение</x:v>
      </x:c>
      <x:c r="H29" s="3" t="str">
        <x:v>Задано; не оценка реального объекта</x:v>
      </x:c>
      <x:c r="I29" s="3" t="str">
        <x:v>Предложено для игры</x:v>
      </x:c>
      <x:c r="J29" s="3" t="str"/>
      <x:c r="K29" s="3" t="str">
        <x:v>[]</x:v>
      </x:c>
      <x:c r="L29" s="3" t="str">
        <x:v>Проверить пространственную пригодность; историческая типичность не заявлена</x:v>
      </x:c>
      <x:c r="M29" s="3" t="str"/>
    </x:row>
    <x:row r="30" ht="96" customHeight="1">
      <x:c r="A30" s="3" t="str">
        <x:v>D029</x:v>
      </x:c>
      <x:c r="B30" s="3" t="str">
        <x:v>Ия</x:v>
      </x:c>
      <x:c r="C30" s="3" t="str">
        <x:v>Длина реки</x:v>
      </x:c>
      <x:c r="D30" s="3" t="str">
        <x:v>км</x:v>
      </x:c>
      <x:c r="E30" s="3" t="n">
        <x:v>21.9</x:v>
      </x:c>
      <x:c r="F30" s="3" t="str"/>
      <x:c r="G30" s="3" t="str">
        <x:v>Прямое значение энциклопедии</x:v>
      </x:c>
      <x:c r="H30" s="3" t="str">
        <x:v>Точность исходного показателя не раскрыта</x:v>
      </x:c>
      <x:c r="I30" s="3" t="str">
        <x:v>Документировано</x:v>
      </x:c>
      <x:c r="J30" s="3" t="str"/>
      <x:c r="K30" s="3" t="str">
        <x:v>["S016"]</x:v>
      </x:c>
      <x:c r="L30" s="3" t="str">
        <x:v>Не длина игровой реки</x:v>
      </x:c>
      <x:c r="M30" s="3" t="str">
        <x:v>https://tatarica.org/ru/razdely/priroda/gidrograficheskaya-set/reki/iya</x:v>
      </x:c>
    </x:row>
    <x:row r="31" ht="96" customHeight="1">
      <x:c r="A31" s="3" t="str">
        <x:v>D030</x:v>
      </x:c>
      <x:c r="B31" s="3" t="str">
        <x:v>Ия</x:v>
      </x:c>
      <x:c r="C31" s="3" t="str">
        <x:v>Площадь бассейна</x:v>
      </x:c>
      <x:c r="D31" s="3" t="str">
        <x:v>км²</x:v>
      </x:c>
      <x:c r="E31" s="3" t="n">
        <x:v>117</x:v>
      </x:c>
      <x:c r="F31" s="3" t="str"/>
      <x:c r="G31" s="3" t="str">
        <x:v>Прямое значение энциклопедии</x:v>
      </x:c>
      <x:c r="H31" s="3" t="str">
        <x:v>Не раскрыта</x:v>
      </x:c>
      <x:c r="I31" s="3" t="str">
        <x:v>Документировано</x:v>
      </x:c>
      <x:c r="J31" s="3" t="str"/>
      <x:c r="K31" s="3" t="str">
        <x:v>["S016"]</x:v>
      </x:c>
      <x:c r="L31" s="3" t="str"/>
      <x:c r="M31" s="3" t="str">
        <x:v>https://tatarica.org/ru/razdely/priroda/gidrograficheskaya-set/reki/iya</x:v>
      </x:c>
    </x:row>
    <x:row r="32" ht="96" customHeight="1">
      <x:c r="A32" s="3" t="str">
        <x:v>D031</x:v>
      </x:c>
      <x:c r="B32" s="3" t="str">
        <x:v>Новый Кырлай</x:v>
      </x:c>
      <x:c r="C32" s="3" t="str">
        <x:v>Охраняемый лесной участок при музее</x:v>
      </x:c>
      <x:c r="D32" s="3" t="str">
        <x:v>га</x:v>
      </x:c>
      <x:c r="E32" s="3" t="n">
        <x:v>11.9</x:v>
      </x:c>
      <x:c r="F32" s="3" t="str"/>
      <x:c r="G32" s="3" t="str">
        <x:v>Прямое значение энциклопедии</x:v>
      </x:c>
      <x:c r="H32" s="3" t="str">
        <x:v>Не раскрыта</x:v>
      </x:c>
      <x:c r="I32" s="3" t="str">
        <x:v>Документировано</x:v>
      </x:c>
      <x:c r="J32" s="3" t="str"/>
      <x:c r="K32" s="3" t="str">
        <x:v>["S015"]</x:v>
      </x:c>
      <x:c r="L32" s="3" t="str">
        <x:v>Не площадь окружающей тайги и не процент лесистости</x:v>
      </x:c>
      <x:c r="M32" s="3" t="str">
        <x:v>https://tatarica.org/ru/razdely/municipalnye-obrazovaniya/municipalnye-rajony/arskij-rajon/novyj-kyrlaj</x:v>
      </x:c>
    </x:row>
  </x:sheetData>
  <x:conditionalFormatting sqref="I2:I32">
    <x:cfRule type="expression" dxfId="2" priority="1">
      <x:formula>I2="Предложено для игры"</x:formula>
    </x:cfRule>
    <x:cfRule type="expression" dxfId="3" priority="2">
      <x:formula>I2="Не установлено"</x:formula>
    </x:cfRule>
  </x:conditionalFormatting>
  <x:dataValidations count="1">
    <x:dataValidation type="list" sqref="I2:I32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d6b4e029da4c5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23" hidden="0" customWidth="1"/>
    <x:col min="6" max="6" width="34" hidden="0" customWidth="1"/>
    <x:col min="7" max="7" width="34" hidden="0" customWidth="1"/>
    <x:col min="8" max="8" width="40" hidden="0" customWidth="1"/>
    <x:col min="9" max="9" width="40" hidden="0" customWidth="1"/>
  </x:cols>
  <x:sheetData>
    <x:row r="1" ht="42" customHeight="1">
      <x:c r="A1" s="8" t="str">
        <x:v>village_id</x:v>
      </x:c>
      <x:c r="B1" s="8" t="str">
        <x:v>name</x:v>
      </x:c>
      <x:c r="C1" s="8" t="str">
        <x:v>district</x:v>
      </x:c>
      <x:c r="D1" s="8" t="str">
        <x:v>period</x:v>
      </x:c>
      <x:c r="E1" s="8" t="str">
        <x:v>source_ids</x:v>
      </x:c>
      <x:c r="F1" s="8" t="str">
        <x:v>role</x:v>
      </x:c>
      <x:c r="G1" s="8" t="str">
        <x:v>available_material</x:v>
      </x:c>
      <x:c r="H1" s="8" t="str">
        <x:v>limits</x:v>
      </x:c>
      <x:c r="I1" s="8" t="str">
        <x:v>source_urls</x:v>
      </x:c>
    </x:row>
    <x:row r="2" ht="96" customHeight="1">
      <x:c r="A2" s="3" t="str">
        <x:v>L01</x:v>
      </x:c>
      <x:c r="B2" s="3" t="str">
        <x:v>Новый Кырлай</x:v>
      </x:c>
      <x:c r="C2" s="3" t="str">
        <x:v>Арский</x:v>
      </x:c>
      <x:c r="D2" s="3" t="str">
        <x:v>2005–2026 как предмет; конкретные даты материалов указаны отдельно</x:v>
      </x:c>
      <x:c r="E2" s="3" t="str">
        <x:v>["S015"]</x:v>
      </x:c>
      <x:c r="F2" s="3" t="str">
        <x:v>Основная локальная модель</x:v>
      </x:c>
      <x:c r="G2" s="3" t="str">
        <x:v>Энциклопедия; датированные фото 2014, 2016, 2021, 2024; музей</x:v>
      </x:c>
      <x:c r="H2" s="3" t="str">
        <x:v>Фото сильно смещены к музею; современный жилой интерьер не обследован</x:v>
      </x:c>
      <x:c r="I2" s="3" t="str">
        <x:v>https://tatarica.org/ru/razdely/municipalnye-obrazovaniya/municipalnye-rajony/arskij-rajon/novyj-kyrlaj</x:v>
      </x:c>
    </x:row>
    <x:row r="3" ht="96" customHeight="1">
      <x:c r="A3" s="3" t="str">
        <x:v>L02</x:v>
      </x:c>
      <x:c r="B3" s="3" t="str">
        <x:v>Старый Кырлай</x:v>
      </x:c>
      <x:c r="C3" s="3" t="str">
        <x:v>Арский</x:v>
      </x:c>
      <x:c r="D3" s="3" t="str">
        <x:v>2005–2026 как предмет; конкретные даты материалов указаны отдельно</x:v>
      </x:c>
      <x:c r="E3" s="3" t="str">
        <x:v>["S018"]</x:v>
      </x:c>
      <x:c r="F3" s="3" t="str">
        <x:v>Совместимый прототип в том же водосборе</x:v>
      </x:c>
      <x:c r="G3" s="3" t="str">
        <x:v>Энциклопедия; подписи фото 2016</x:v>
      </x:c>
      <x:c r="H3" s="3" t="str">
        <x:v>Нет фактического обмера улиц</x:v>
      </x:c>
      <x:c r="I3" s="3" t="str">
        <x:v>https://tatarica.org/ru/razdely/municipalnye-obrazovaniya/municipalnye-rajony/arskij-rajon/staryj-kyrlaj</x:v>
      </x:c>
    </x:row>
    <x:row r="4" ht="96" customHeight="1">
      <x:c r="A4" s="3" t="str">
        <x:v>L03</x:v>
      </x:c>
      <x:c r="B4" s="3" t="str">
        <x:v>Кошлауч</x:v>
      </x:c>
      <x:c r="C4" s="3" t="str">
        <x:v>Арский</x:v>
      </x:c>
      <x:c r="D4" s="3" t="str">
        <x:v>2005–2026 как предмет; конкретные даты материалов указаны отдельно</x:v>
      </x:c>
      <x:c r="E4" s="3" t="str">
        <x:v>["S019"]</x:v>
      </x:c>
      <x:c r="F4" s="3" t="str">
        <x:v>Контраст меньшего масштаба и музейной реконструкции</x:v>
      </x:c>
      <x:c r="G4" s="3" t="str">
        <x:v>Энциклопедия, изображения учреждений 2016</x:v>
      </x:c>
      <x:c r="H4" s="3" t="str">
        <x:v>Другой водоток; музейный дом не современное жилье</x:v>
      </x:c>
      <x:c r="I4" s="3" t="str">
        <x:v>https://tatarica.org/ru/razdely/municipalnye-obrazovaniya/municipalnye-rajony/arskij-rajon/koshlauch</x:v>
      </x:c>
    </x:row>
    <x:row r="5" ht="96" customHeight="1">
      <x:c r="A5" s="3" t="str">
        <x:v>L04</x:v>
      </x:c>
      <x:c r="B5" s="3" t="str">
        <x:v>Большая Атня</x:v>
      </x:c>
      <x:c r="C5" s="3" t="str">
        <x:v>Атнинский</x:v>
      </x:c>
      <x:c r="D5" s="3" t="str">
        <x:v>2005–2026 как предмет; конкретные даты материалов указаны отдельно</x:v>
      </x:c>
      <x:c r="E5" s="3" t="str">
        <x:v>["S020", "S029"]</x:v>
      </x:c>
      <x:c r="F5" s="3" t="str">
        <x:v>Альтернативное направление; крупный центр</x:v>
      </x:c>
      <x:c r="G5" s="3" t="str">
        <x:v>Энциклопедия; архитектурная статья о домах Даутова</x:v>
      </x:c>
      <x:c r="H5" s="3" t="str">
        <x:v>Районный центр и богатый особняк не рядовой деревенский тип</x:v>
      </x:c>
      <x:c r="I5" s="3" t="str">
        <x:v>https://tatarica.org/ru/razdely/municipalnye-obrazovaniya/municipalnye-rajony/atninskij/bolshaya-atnya
https://tatarica.org/ru/razdely/kultura/iskusstvo/arhitektura/zdaniya-i-sooruzheniya/dautova-doma</x:v>
      </x:c>
    </x:row>
    <x:row r="6" ht="96" customHeight="1">
      <x:c r="A6" s="3" t="str">
        <x:v>L05</x:v>
      </x:c>
      <x:c r="B6" s="3" t="str">
        <x:v>Большой Менгер</x:v>
      </x:c>
      <x:c r="C6" s="3" t="str">
        <x:v>Атнинский</x:v>
      </x:c>
      <x:c r="D6" s="3" t="str">
        <x:v>2005–2026 как предмет; конкретные даты материалов указаны отдельно</x:v>
      </x:c>
      <x:c r="E6" s="3" t="str">
        <x:v>["S021"]</x:v>
      </x:c>
      <x:c r="F6" s="3" t="str">
        <x:v>Историческая архитектура и локальный контраст</x:v>
      </x:c>
      <x:c r="G6" s="3" t="str">
        <x:v>Статья о поселении и доме Бакирова</x:v>
      </x:c>
      <x:c r="H6" s="3" t="str">
        <x:v>Особняк 1838 г. не статистически типичный дом</x:v>
      </x:c>
      <x:c r="I6" s="3" t="str">
        <x:v>https://tatarica.org/ru/razdely/municipalnye-obrazovaniya/municipalnye-rajony/atninskij/bolshoj-menger</x:v>
      </x:c>
    </x:row>
    <x:row r="7" ht="96" customHeight="1">
      <x:c r="A7" s="3" t="str">
        <x:v>L06</x:v>
      </x:c>
      <x:c r="B7" s="3" t="str">
        <x:v>Старый Менгер</x:v>
      </x:c>
      <x:c r="C7" s="3" t="str">
        <x:v>Атнинский</x:v>
      </x:c>
      <x:c r="D7" s="3" t="str">
        <x:v>2005–2026 как предмет; конкретные даты материалов указаны отдельно</x:v>
      </x:c>
      <x:c r="E7" s="3" t="str">
        <x:v>["S022"]</x:v>
      </x:c>
      <x:c r="F7" s="3" t="str">
        <x:v>Проверка масштаба общественных функций</x:v>
      </x:c>
      <x:c r="G7" s="3" t="str">
        <x:v>Датированные события школы и мечети</x:v>
      </x:c>
      <x:c r="H7" s="3" t="str">
        <x:v>Нет полноценного визуального обследования</x:v>
      </x:c>
      <x:c r="I7" s="3" t="str">
        <x:v>https://tatarica.org/ru/razdely/municipalnye-obrazovaniya/municipalnye-rajony/atninskij/staryj-menger</x:v>
      </x:c>
    </x:row>
    <x:row r="8" ht="96" customHeight="1">
      <x:c r="A8" s="3" t="str">
        <x:v>L07</x:v>
      </x:c>
      <x:c r="B8" s="3" t="str">
        <x:v>Тюнтер</x:v>
      </x:c>
      <x:c r="C8" s="3" t="str">
        <x:v>Балтасинский</x:v>
      </x:c>
      <x:c r="D8" s="3" t="str">
        <x:v>2005–2026 как предмет; конкретные даты материалов указаны отдельно</x:v>
      </x:c>
      <x:c r="E8" s="3" t="str">
        <x:v>["S023"]</x:v>
      </x:c>
      <x:c r="F8" s="3" t="str">
        <x:v>Альтернатива с историей образования</x:v>
      </x:c>
      <x:c r="G8" s="3" t="str">
        <x:v>Энциклопедический текст</x:v>
      </x:c>
      <x:c r="H8" s="3" t="str">
        <x:v>Современные интерьеры и профиль улицы не получены</x:v>
      </x:c>
      <x:c r="I8" s="3" t="str">
        <x:v>https://tatarica.org/ru/razdely/municipalnye-obrazovaniya/municipalnye-rajony/baltasinskij-rajon/tyunter</x:v>
      </x:c>
    </x:row>
    <x:row r="9" ht="96" customHeight="1">
      <x:c r="A9" s="3" t="str">
        <x:v>L08</x:v>
      </x:c>
      <x:c r="B9" s="3" t="str">
        <x:v>Лесхоз</x:v>
      </x:c>
      <x:c r="C9" s="3" t="str">
        <x:v>Сабинский</x:v>
      </x:c>
      <x:c r="D9" s="3" t="str">
        <x:v>2005–2026 как предмет; конкретные даты материалов указаны отдельно</x:v>
      </x:c>
      <x:c r="E9" s="3" t="str">
        <x:v>["S027", "S028"]</x:v>
      </x:c>
      <x:c r="F9" s="3" t="str">
        <x:v>Лесохозяйственная альтернатива</x:v>
      </x:c>
      <x:c r="G9" s="3" t="str">
        <x:v>Прочитана статья о лесничестве; паспорт поселения недоступен</x:v>
      </x:c>
      <x:c r="H9" s="3" t="str">
        <x:v>Состав населения и жилая застройка не подтверждены</x:v>
      </x:c>
      <x:c r="I9" s="3" t="str">
        <x:v>https://tatarica.org/ru/razdely/priroda/poleznye-iskopaemye/sabinskoe-lesnichestvo
https://saby.tatarstan.ru/pasport-poseleniya-458902.htm</x:v>
      </x:c>
    </x:row>
    <x:row r="10" ht="96" customHeight="1">
      <x:c r="A10" s="3" t="str">
        <x:v>L09</x:v>
      </x:c>
      <x:c r="B10" s="3" t="str">
        <x:v>Туембаш</x:v>
      </x:c>
      <x:c r="C10" s="3" t="str">
        <x:v>Кукморский</x:v>
      </x:c>
      <x:c r="D10" s="3" t="str">
        <x:v>2005–2026 как предмет; конкретные даты материалов указаны отдельно</x:v>
      </x:c>
      <x:c r="E10" s="3" t="str">
        <x:v>["S024"]</x:v>
      </x:c>
      <x:c r="F10" s="3" t="str">
        <x:v>Ремесленно-хозяйственный контраст и точечные даты</x:v>
      </x:c>
      <x:c r="G10" s="3" t="str">
        <x:v>Энциклопедия: валяльное производство, новые учреждения</x:v>
      </x:c>
      <x:c r="H10" s="3" t="str">
        <x:v>Не смешивать с музейной архитектурой Кырлая</x:v>
      </x:c>
      <x:c r="I10" s="3" t="str">
        <x:v>https://tatarica.org/ru/razdely/municipalnye-obrazovaniya/municipalnye-rajony/kukmorskij-rajon-1/tuembash</x:v>
      </x:c>
    </x:row>
    <x:row r="11" ht="96" customHeight="1">
      <x:c r="A11" s="3" t="str">
        <x:v>L10</x:v>
      </x:c>
      <x:c r="B11" s="3" t="str">
        <x:v>Верхний Кумор</x:v>
      </x:c>
      <x:c r="C11" s="3" t="str">
        <x:v>Кукморский</x:v>
      </x:c>
      <x:c r="D11" s="3" t="str">
        <x:v>2005–2026 как предмет; конкретные даты материалов указаны отдельно</x:v>
      </x:c>
      <x:c r="E11" s="3" t="str">
        <x:v>["S025"]</x:v>
      </x:c>
      <x:c r="F11" s="3" t="str">
        <x:v>Этнокультурный контроль: удмуртское село</x:v>
      </x:c>
      <x:c r="G11" s="3" t="str">
        <x:v>Прямое указание состава населения</x:v>
      </x:c>
      <x:c r="H11" s="3" t="str">
        <x:v>Не используется как татарский прототип</x:v>
      </x:c>
      <x:c r="I11" s="3" t="str">
        <x:v>https://tatarica.org/ru/razdely/municipalnye-obrazovaniya/municipalnye-rajony/kukmorskij-rajon-1/verhnij-kumor</x:v>
      </x:c>
    </x:row>
    <x:row r="12" ht="96" customHeight="1">
      <x:c r="A12" s="3" t="str">
        <x:v>L11</x:v>
      </x:c>
      <x:c r="B12" s="3" t="str">
        <x:v>Кичучатово</x:v>
      </x:c>
      <x:c r="C12" s="3" t="str">
        <x:v>Альметьевский</x:v>
      </x:c>
      <x:c r="D12" s="3" t="str">
        <x:v>2005–2026 как предмет; конкретные даты материалов указаны отдельно</x:v>
      </x:c>
      <x:c r="E12" s="3" t="str">
        <x:v>["S026", "S010", "S012"]</x:v>
      </x:c>
      <x:c r="F12" s="3" t="str">
        <x:v>Контраст юго-востока Татарстана</x:v>
      </x:c>
      <x:c r="G12" s="3" t="str">
        <x:v>Энциклопедии поселения и регионального жилища</x:v>
      </x:c>
      <x:c r="H12" s="3" t="str">
        <x:v>Локальную планировку, камень и текстиль не переносить автоматически</x:v>
      </x:c>
      <x:c r="I12" s="3" t="str">
        <x:v>https://tatarica.org/ru/razdely/municipalnye-obrazovaniya/municipalnye-rajony/almetevskij-rajon/kichuchatovo
https://almet-history.tatneft.ru/istoriya/traditsionnaya-kultura/remesla-i-narodnoe-iskusstvo/d-k/ihata?lang=ru
https://almet-history.tatneft.ru/istoriya/traditsionnaya-kultura/remesla-i-narodnoe-iskusstvo/d-k/interer?lang=ru</x:v>
      </x:c>
    </x:row>
  </x:sheetData>
  <x:pageMargins left="0.7" right="0.7" top="0.75" bottom="0.75" header="0.3" footer="0.3"/>
  <x:tableParts count="1">
    <x:tablePart xmlns:r="http://schemas.openxmlformats.org/officeDocument/2006/relationships" r:id="Raa5eef2e42594a5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23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40" hidden="0" customWidth="1"/>
  </x:cols>
  <x:sheetData>
    <x:row r="1" ht="42" customHeight="1">
      <x:c r="A1" s="8" t="str">
        <x:v>motif_id</x:v>
      </x:c>
      <x:c r="B1" s="8" t="str">
        <x:v>motif</x:v>
      </x:c>
      <x:c r="C1" s="8" t="str">
        <x:v>source_ids</x:v>
      </x:c>
      <x:c r="D1" s="8" t="str">
        <x:v>region_time</x:v>
      </x:c>
      <x:c r="E1" s="8" t="str">
        <x:v>layer</x:v>
      </x:c>
      <x:c r="F1" s="8" t="str">
        <x:v>agreement_and_difference</x:v>
      </x:c>
      <x:c r="G1" s="8" t="str">
        <x:v>game_application</x:v>
      </x:c>
      <x:c r="H1" s="8" t="str">
        <x:v>distortion_risk</x:v>
      </x:c>
      <x:c r="I1" s="8" t="str">
        <x:v>collector</x:v>
      </x:c>
      <x:c r="J1" s="8" t="str">
        <x:v>performer</x:v>
      </x:c>
      <x:c r="K1" s="8" t="str">
        <x:v>primary_record_passport</x:v>
      </x:c>
      <x:c r="L1" s="8" t="str">
        <x:v>source_urls</x:v>
      </x:c>
    </x:row>
    <x:row r="2" ht="96" customHeight="1">
      <x:c r="A2" s="3" t="str">
        <x:v>MF01</x:v>
      </x:c>
      <x:c r="B2" s="3" t="str">
        <x:v>Длинные пальцы</x:v>
      </x:c>
      <x:c r="C2" s="3" t="str">
        <x:v>["S030", "S031"]</x:v>
      </x:c>
      <x:c r="D2" s="3" t="str">
        <x:v>Обзор без паспортов; поэма 1907</x:v>
      </x:c>
      <x:c r="E2" s="3" t="str">
        <x:v>Научный обзор / литература</x:v>
      </x:c>
      <x:c r="F2" s="3" t="str">
        <x:v>Совпадение в обзоре и поэме; конкретная гипербола длины литературная</x:v>
      </x:c>
      <x:c r="G2" s="3" t="str">
        <x:v>Силуэт рук, хват и подвижность пальцев; численный размер проектный</x:v>
      </x:c>
      <x:c r="H2" s="3" t="str">
        <x:v>Не заменять пальцы когтями и не выдавать гиперболу за обмер</x:v>
      </x:c>
      <x:c r="I2" s="3" t="str"/>
      <x:c r="J2" s="3" t="str"/>
      <x:c r="K2" s="3" t="str">
        <x:v>Не установлен; см. уровень доступа источника</x:v>
      </x:c>
      <x:c r="L2" s="3" t="str">
        <x:v>https://tatarica.org/ru/razdely/narody/tatary/verovaniya-i-mifologiya/mifologicheskie-personazhi/shurale
https://tugan-tel.tatar/adabiyat/shigriyat/Gabdulla_Tukai/shurale.pdf</x:v>
      </x:c>
    </x:row>
    <x:row r="3" ht="96" customHeight="1">
      <x:c r="A3" s="3" t="str">
        <x:v>MF02</x:v>
      </x:c>
      <x:c r="B3" s="3" t="str">
        <x:v>Рог</x:v>
      </x:c>
      <x:c r="C3" s="3" t="str">
        <x:v>["S030", "S031"]</x:v>
      </x:c>
      <x:c r="D3" s="3" t="str">
        <x:v>То же</x:v>
      </x:c>
      <x:c r="E3" s="3" t="str">
        <x:v>Научный обзор / литература</x:v>
      </x:c>
      <x:c r="F3" s="3" t="str">
        <x:v>В обзоре бывает, в поэме присутствует; не универсален</x:v>
      </x:c>
      <x:c r="G3" s="3" t="str">
        <x:v>Выбранный литературный вариант с одним небольшим лобным рогом</x:v>
      </x:c>
      <x:c r="H3" s="3" t="str">
        <x:v>Не обязательный гигантский олений венец</x:v>
      </x:c>
      <x:c r="I3" s="3" t="str"/>
      <x:c r="J3" s="3" t="str"/>
      <x:c r="K3" s="3" t="str">
        <x:v>Не установлен; см. уровень доступа источника</x:v>
      </x:c>
      <x:c r="L3" s="3" t="str">
        <x:v>https://tatarica.org/ru/razdely/narody/tatary/verovaniya-i-mifologiya/mifologicheskie-personazhi/shurale
https://tugan-tel.tatar/adabiyat/shigriyat/Gabdulla_Tukai/shurale.pdf</x:v>
      </x:c>
    </x:row>
    <x:row r="4" ht="96" customHeight="1">
      <x:c r="A4" s="3" t="str">
        <x:v>MF03</x:v>
      </x:c>
      <x:c r="B4" s="3" t="str">
        <x:v>Волосатость</x:v>
      </x:c>
      <x:c r="C4" s="3" t="str">
        <x:v>["S030", "S031"]</x:v>
      </x:c>
      <x:c r="D4" s="3" t="str">
        <x:v>То же</x:v>
      </x:c>
      <x:c r="E4" s="3" t="str">
        <x:v>Обобщение вариантов / литература</x:v>
      </x:c>
      <x:c r="F4" s="3" t="str">
        <x:v>Волосатая форма в энциклопедии; в прочитанном описании Тукая нагота и худоба</x:v>
      </x:c>
      <x:c r="G4" s="3" t="str">
        <x:v>Два раздельных дизайн-направления вместо смешанного канона</x:v>
      </x:c>
      <x:c r="H4" s="3" t="str">
        <x:v>Не говорить, что Тукай описывает обязательную густую шерсть</x:v>
      </x:c>
      <x:c r="I4" s="3" t="str"/>
      <x:c r="J4" s="3" t="str"/>
      <x:c r="K4" s="3" t="str">
        <x:v>Не установлен; см. уровень доступа источника</x:v>
      </x:c>
      <x:c r="L4" s="3" t="str">
        <x:v>https://tatarica.org/ru/razdely/narody/tatary/verovaniya-i-mifologiya/mifologicheskie-personazhi/shurale
https://tugan-tel.tatar/adabiyat/shigriyat/Gabdulla_Tukai/shurale.pdf</x:v>
      </x:c>
    </x:row>
    <x:row r="5" ht="96" customHeight="1">
      <x:c r="A5" s="3" t="str">
        <x:v>MF04</x:v>
      </x:c>
      <x:c r="B5" s="3" t="str">
        <x:v>Щекотка</x:v>
      </x:c>
      <x:c r="C5" s="3" t="str">
        <x:v>["S030", "S031"]</x:v>
      </x:c>
      <x:c r="D5" s="3" t="str">
        <x:v>То же</x:v>
      </x:c>
      <x:c r="E5" s="3" t="str">
        <x:v>Научный обзор / литература</x:v>
      </x:c>
      <x:c r="F5" s="3" t="str">
        <x:v>Повторяющийся мотив; его социальная интонация меняется</x:v>
      </x:c>
      <x:c r="G5" s="3" t="str">
        <x:v>Непривычный телесный контакт, предложение поиграть, словесная ловушка</x:v>
      </x:c>
      <x:c r="H5" s="3" t="str">
        <x:v>Не сводить контакт к обычному удару когтем</x:v>
      </x:c>
      <x:c r="I5" s="3" t="str"/>
      <x:c r="J5" s="3" t="str"/>
      <x:c r="K5" s="3" t="str">
        <x:v>Не установлен; см. уровень доступа источника</x:v>
      </x:c>
      <x:c r="L5" s="3" t="str">
        <x:v>https://tatarica.org/ru/razdely/narody/tatary/verovaniya-i-mifologiya/mifologicheskie-personazhi/shurale
https://tugan-tel.tatar/adabiyat/shigriyat/Gabdulla_Tukai/shurale.pdf</x:v>
      </x:c>
    </x:row>
    <x:row r="6" ht="96" customHeight="1">
      <x:c r="A6" s="3" t="str">
        <x:v>MF05</x:v>
      </x:c>
      <x:c r="B6" s="3" t="str">
        <x:v>Защемление пальцев</x:v>
      </x:c>
      <x:c r="C6" s="3" t="str">
        <x:v>["S030", "S031", "S033"]</x:v>
      </x:c>
      <x:c r="D6" s="3" t="str">
        <x:v>1867 в пересказе 2013; 1907</x:v>
      </x:c>
      <x:c r="E6" s="3" t="str">
        <x:v>Обзор / литература / опосредованный исторический пересказ</x:v>
      </x:c>
      <x:c r="F6" s="3" t="str">
        <x:v>Связь с клином и расщелиной подтверждается несколькими слоями, не независимыми полевыми записями</x:v>
      </x:c>
      <x:c r="G6" s="3" t="str">
        <x:v>Изобразить правдоподобную механику клина в литературной интерпретации</x:v>
      </x:c>
      <x:c r="H6" s="3" t="str">
        <x:v>Не утверждать, что три публикации — три независимых информанта</x:v>
      </x:c>
      <x:c r="I6" s="3" t="str"/>
      <x:c r="J6" s="3" t="str"/>
      <x:c r="K6" s="3" t="str">
        <x:v>Не установлен; см. уровень доступа источника</x:v>
      </x:c>
      <x:c r="L6" s="3" t="str">
        <x:v>https://tatarica.org/ru/razdely/narody/tatary/verovaniya-i-mifologiya/mifologicheskie-personazhi/shurale
https://tugan-tel.tatar/adabiyat/shigriyat/Gabdulla_Tukai/shurale.pdf
https://tuganaylar.ru/news/etnografichsekaya-mozaika/persona-shurale-v-verovaniyah-kryashen</x:v>
      </x:c>
    </x:row>
    <x:row r="7" ht="96" customHeight="1">
      <x:c r="A7" s="3" t="str">
        <x:v>MF06</x:v>
      </x:c>
      <x:c r="B7" s="3" t="str">
        <x:v>Былтыр</x:v>
      </x:c>
      <x:c r="C7" s="3" t="str">
        <x:v>["S031", "S033"]</x:v>
      </x:c>
      <x:c r="D7" s="3" t="str">
        <x:v>1907; материал 1867 в публикации 2013</x:v>
      </x:c>
      <x:c r="E7" s="3" t="str">
        <x:v>Литература / пересказ записи</x:v>
      </x:c>
      <x:c r="F7" s="3" t="str">
        <x:v>Имя-уловка связано со значением «в прошлом году»</x:v>
      </x:c>
      <x:c r="G7" s="3" t="str">
        <x:v>Сохранить смысл двусмысленности при локализации</x:v>
      </x:c>
      <x:c r="H7" s="3" t="str">
        <x:v>Не превращать Былтыр в установленное настоящее имя всякого дровосека</x:v>
      </x:c>
      <x:c r="I7" s="3" t="str"/>
      <x:c r="J7" s="3" t="str"/>
      <x:c r="K7" s="3" t="str">
        <x:v>Не установлен; см. уровень доступа источника</x:v>
      </x:c>
      <x:c r="L7" s="3" t="str">
        <x:v>https://tugan-tel.tatar/adabiyat/shigriyat/Gabdulla_Tukai/shurale.pdf
https://tuganaylar.ru/news/etnografichsekaya-mozaika/persona-shurale-v-verovaniyah-kryashen</x:v>
      </x:c>
    </x:row>
    <x:row r="8" ht="96" customHeight="1">
      <x:c r="A8" s="3" t="str">
        <x:v>MF07</x:v>
      </x:c>
      <x:c r="B8" s="3" t="str">
        <x:v>Лошадь и смола</x:v>
      </x:c>
      <x:c r="C8" s="3" t="str">
        <x:v>["S030"]</x:v>
      </x:c>
      <x:c r="D8" s="3" t="str">
        <x:v>Паспорта отдельных записей не прочитаны</x:v>
      </x:c>
      <x:c r="E8" s="3" t="str">
        <x:v>Научный обзор фольклорных вариантов</x:v>
      </x:c>
      <x:c r="F8" s="3" t="str">
        <x:v>Отдельный сюжетный тип; не эпизод поэмы Тукая</x:v>
      </x:c>
      <x:c r="G8" s="3" t="str">
        <x:v>Отдельная авторская ветвь после чтения полного варианта</x:v>
      </x:c>
      <x:c r="H8" s="3" t="str">
        <x:v>Не склеивать с поэмой без обозначения источников</x:v>
      </x:c>
      <x:c r="I8" s="3" t="str"/>
      <x:c r="J8" s="3" t="str"/>
      <x:c r="K8" s="3" t="str">
        <x:v>Не установлен; см. уровень доступа источника</x:v>
      </x:c>
      <x:c r="L8" s="3" t="str">
        <x:v>https://tatarica.org/ru/razdely/narody/tatary/verovaniya-i-mifologiya/mifologicheskie-personazhi/shurale</x:v>
      </x:c>
    </x:row>
    <x:row r="9" ht="96" customHeight="1">
      <x:c r="A9" s="3" t="str">
        <x:v>MF08</x:v>
      </x:c>
      <x:c r="B9" s="3" t="str">
        <x:v>Вода, собака, вывернутая одежда</x:v>
      </x:c>
      <x:c r="C9" s="3" t="str">
        <x:v>["S030"]</x:v>
      </x:c>
      <x:c r="D9" s="3" t="str">
        <x:v>Локальные паспорта не установлены</x:v>
      </x:c>
      <x:c r="E9" s="3" t="str">
        <x:v>Научный обзор</x:v>
      </x:c>
      <x:c r="F9" s="3" t="str">
        <x:v>Указаны как средства защиты/ограничения в обзоре; не универсальный набор законов</x:v>
      </x:c>
      <x:c r="G9" s="3" t="str">
        <x:v>Оставить как возможные сведения персонажей с оговорками</x:v>
      </x:c>
      <x:c r="H9" s="3" t="str">
        <x:v>Не превращать воду в безусловную игровую кислоту для всех Шурале</x:v>
      </x:c>
      <x:c r="I9" s="3" t="str"/>
      <x:c r="J9" s="3" t="str"/>
      <x:c r="K9" s="3" t="str">
        <x:v>Не установлен; см. уровень доступа источника</x:v>
      </x:c>
      <x:c r="L9" s="3" t="str">
        <x:v>https://tatarica.org/ru/razdely/narody/tatary/verovaniya-i-mifologiya/mifologicheskie-personazhi/shurale</x:v>
      </x:c>
    </x:row>
    <x:row r="10" ht="96" customHeight="1">
      <x:c r="A10" s="3" t="str">
        <x:v>MF09</x:v>
      </x:c>
      <x:c r="B10" s="3" t="str">
        <x:v>Голос и речь</x:v>
      </x:c>
      <x:c r="C10" s="3" t="str">
        <x:v>["S031"]</x:v>
      </x:c>
      <x:c r="D10" s="3" t="str">
        <x:v>1907</x:v>
      </x:c>
      <x:c r="E10" s="3" t="str">
        <x:v>Литература</x:v>
      </x:c>
      <x:c r="F10" s="3" t="str">
        <x:v>Крик и диалог прямо присутствуют; реального акустического эталона нет</x:v>
      </x:c>
      <x:c r="G10" s="3" t="str">
        <x:v>Речевая пластика и резкая смена интонации; оригинальная актерская запись</x:v>
      </x:c>
      <x:c r="H10" s="3" t="str">
        <x:v>Не объявлять конкретный тембр этнографически установленным</x:v>
      </x:c>
      <x:c r="I10" s="3" t="str"/>
      <x:c r="J10" s="3" t="str"/>
      <x:c r="K10" s="3" t="str">
        <x:v>Не установлен; см. уровень доступа источника</x:v>
      </x:c>
      <x:c r="L10" s="3" t="str">
        <x:v>https://tugan-tel.tatar/adabiyat/shigriyat/Gabdulla_Tukai/shurale.pdf</x:v>
      </x:c>
    </x:row>
    <x:row r="11" ht="96" customHeight="1">
      <x:c r="A11" s="3" t="str">
        <x:v>MF10</x:v>
      </x:c>
      <x:c r="B11" s="3" t="str">
        <x:v>Другие Шурале</x:v>
      </x:c>
      <x:c r="C11" s="3" t="str">
        <x:v>["S031"]</x:v>
      </x:c>
      <x:c r="D11" s="3" t="str">
        <x:v>1907</x:v>
      </x:c>
      <x:c r="E11" s="3" t="str">
        <x:v>Литература</x:v>
      </x:c>
      <x:c r="F11" s="3" t="str">
        <x:v>В конце поэмы присутствуют другие существа; реакция связана с уловкой</x:v>
      </x:c>
      <x:c r="G11" s="3" t="str">
        <x:v>Ощущение социальности, а не единственного биологического монстра</x:v>
      </x:c>
      <x:c r="H11" s="3" t="str">
        <x:v>Не делать по литературному эпизоду универсальную иерархию существ</x:v>
      </x:c>
      <x:c r="I11" s="3" t="str"/>
      <x:c r="J11" s="3" t="str"/>
      <x:c r="K11" s="3" t="str">
        <x:v>Не установлен; см. уровень доступа источника</x:v>
      </x:c>
      <x:c r="L11" s="3" t="str">
        <x:v>https://tugan-tel.tatar/adabiyat/shigriyat/Gabdulla_Tukai/shurale.pdf</x:v>
      </x:c>
    </x:row>
    <x:row r="12" ht="96" customHeight="1">
      <x:c r="A12" s="3" t="str">
        <x:v>MF11</x:v>
      </x:c>
      <x:c r="B12" s="3" t="str">
        <x:v>Женский облик</x:v>
      </x:c>
      <x:c r="C12" s="3" t="str">
        <x:v>["S030"]</x:v>
      </x:c>
      <x:c r="D12" s="3" t="str">
        <x:v>Точные записи не изучены</x:v>
      </x:c>
      <x:c r="E12" s="3" t="str">
        <x:v>Обобщение фольклорных вариантов</x:v>
      </x:c>
      <x:c r="F12" s="3" t="str">
        <x:v>Энциклопедия допускает иной облик</x:v>
      </x:c>
      <x:c r="G12" s="3" t="str">
        <x:v>Самостоятельное направление после уточнения первичного текста</x:v>
      </x:c>
      <x:c r="H12" s="3" t="str">
        <x:v>Не вводить как сенсационное свойство без указания слоя</x:v>
      </x:c>
      <x:c r="I12" s="3" t="str"/>
      <x:c r="J12" s="3" t="str"/>
      <x:c r="K12" s="3" t="str">
        <x:v>Не установлен; см. уровень доступа источника</x:v>
      </x:c>
      <x:c r="L12" s="3" t="str">
        <x:v>https://tatarica.org/ru/razdely/narody/tatary/verovaniya-i-mifologiya/mifologicheskie-personazhi/shurale</x:v>
      </x:c>
    </x:row>
    <x:row r="13" ht="96" customHeight="1">
      <x:c r="A13" s="3" t="str">
        <x:v>MF12</x:v>
      </x:c>
      <x:c r="B13" s="3" t="str">
        <x:v>Размножение от крови / проклятая деревня</x:v>
      </x:c>
      <x:c r="C13" s="3" t="str">
        <x:v>["S030"]</x:v>
      </x:c>
      <x:c r="D13" s="3" t="str">
        <x:v>Паспорт не установлен</x:v>
      </x:c>
      <x:c r="E13" s="3" t="str">
        <x:v>Отдельный вариант в научном обзоре</x:v>
      </x:c>
      <x:c r="F13" s="3" t="str">
        <x:v>Привязано к отдельному рассказу, а не всему корпусу</x:v>
      </x:c>
      <x:c r="G13" s="3" t="str">
        <x:v>До первичного текста не делать основой мира</x:v>
      </x:c>
      <x:c r="H13" s="3" t="str">
        <x:v>Одноименное авторское стихотворение не тождественно фольклорной записи</x:v>
      </x:c>
      <x:c r="I13" s="3" t="str"/>
      <x:c r="J13" s="3" t="str"/>
      <x:c r="K13" s="3" t="str">
        <x:v>Не установлен; см. уровень доступа источника</x:v>
      </x:c>
      <x:c r="L13" s="3" t="str">
        <x:v>https://tatarica.org/ru/razdely/narody/tatary/verovaniya-i-mifologiya/mifologicheskie-personazhi/shurale</x:v>
      </x:c>
    </x:row>
  </x:sheetData>
  <x:pageMargins left="0.7" right="0.7" top="0.75" bottom="0.75" header="0.3" footer="0.3"/>
  <x:tableParts count="1">
    <x:tablePart xmlns:r="http://schemas.openxmlformats.org/officeDocument/2006/relationships" r:id="R31c40dccf75a4ba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42" customHeight="1">
      <x:c r="A1" s="8" t="str">
        <x:v>gap_id</x:v>
      </x:c>
      <x:c r="B1" s="8" t="str">
        <x:v>question</x:v>
      </x:c>
      <x:c r="C1" s="8" t="str">
        <x:v>impact</x:v>
      </x:c>
      <x:c r="D1" s="8" t="str">
        <x:v>verification_method</x:v>
      </x:c>
      <x:c r="E1" s="8" t="str">
        <x:v>priority</x:v>
      </x:c>
      <x:c r="F1" s="8" t="str">
        <x:v>status</x:v>
      </x:c>
    </x:row>
    <x:row r="2" ht="96" customHeight="1">
      <x:c r="A2" s="3" t="str">
        <x:v>G001</x:v>
      </x:c>
      <x:c r="B2" s="3" t="str">
        <x:v>Нет фактических обмеров улиц и участков Нового/Старого Кырлая</x:v>
      </x:c>
      <x:c r="C2" s="3" t="str">
        <x:v>Геометрия достоверна только как согласованный проект</x:v>
      </x:c>
      <x:c r="D2" s="3" t="str">
        <x:v>С согласия владельцев измерить 3 профиля улицы, 6 фронтов участков и 3 двора; отдельно канавы/фасады/заборы</x:v>
      </x:c>
      <x:c r="E2" s="3" t="str">
        <x:v>Критично</x:v>
      </x:c>
      <x:c r="F2" s="3" t="str">
        <x:v>Не выполнено; требуется проверка</x:v>
      </x:c>
    </x:row>
    <x:row r="3" ht="96" customHeight="1">
      <x:c r="A3" s="3" t="str">
        <x:v>G002</x:v>
      </x:c>
      <x:c r="B3" s="3" t="str">
        <x:v>Нет обследованных действующих интерьеров 2010-х</x:v>
      </x:c>
      <x:c r="C3" s="3" t="str">
        <x:v>H01–H05 нельзя называть документальной реконструкцией</x:v>
      </x:c>
      <x:c r="D3" s="3" t="str">
        <x:v>6 домов: вход, все стены комнат, узлы отопления/воды; интервью о датах перестановок и ремонтов</x:v>
      </x:c>
      <x:c r="E3" s="3" t="str">
        <x:v>Критично</x:v>
      </x:c>
      <x:c r="F3" s="3" t="str">
        <x:v>Не выполнено; требуется проверка</x:v>
      </x:c>
    </x:row>
    <x:row r="4" ht="96" customHeight="1">
      <x:c r="A4" s="3" t="str">
        <x:v>G003</x:v>
      </x:c>
      <x:c r="B4" s="3" t="str">
        <x:v>Не получены полные фольклорные записи и паспорта</x:v>
      </x:c>
      <x:c r="C4" s="3" t="str">
        <x:v>Невозможно доказательно локализовать каждую версию Шурале</x:v>
      </x:c>
      <x:c r="D4" s="3" t="str">
        <x:v>Получить сборник 1987 и оригинал Максимова; сверить Коблова 1910 по страницам</x:v>
      </x:c>
      <x:c r="E4" s="3" t="str">
        <x:v>Критично</x:v>
      </x:c>
      <x:c r="F4" s="3" t="str">
        <x:v>Не выполнено; требуется проверка</x:v>
      </x:c>
    </x:row>
    <x:row r="5" ht="96" customHeight="1">
      <x:c r="A5" s="3" t="str">
        <x:v>G004</x:v>
      </x:c>
      <x:c r="B5" s="3" t="str">
        <x:v>Нет прослушанных полевых аудиозаписей</x:v>
      </x:c>
      <x:c r="C5" s="3" t="str">
        <x:v>Звуковая карта содержит задания, не этнографические фонограммы</x:v>
      </x:c>
      <x:c r="D5" s="3" t="str">
        <x:v>Записать улицу/двор/кухню/берег/лес по 5–10 минут в двух сезонах; журнал погоды и источников</x:v>
      </x:c>
      <x:c r="E5" s="3" t="str">
        <x:v>Критично</x:v>
      </x:c>
      <x:c r="F5" s="3" t="str">
        <x:v>Не выполнено; требуется проверка</x:v>
      </x:c>
    </x:row>
    <x:row r="6" ht="96" customHeight="1">
      <x:c r="A6" s="3" t="str">
        <x:v>G005</x:v>
      </x:c>
      <x:c r="B6" s="3" t="str">
        <x:v>Четыре локальные фотографии низкого разрешения</x:v>
      </x:c>
      <x:c r="C6" s="3" t="str">
        <x:v>Нельзя извлекать профили резьбы и текстуру материала</x:v>
      </x:c>
      <x:c r="D6" s="3" t="str">
        <x:v>Получить оригиналы по паспортам V001–V016; проверить EXIF, подписи и права</x:v>
      </x:c>
      <x:c r="E6" s="3" t="str">
        <x:v>Высоко</x:v>
      </x:c>
      <x:c r="F6" s="3" t="str">
        <x:v>Не выполнено; требуется проверка</x:v>
      </x:c>
    </x:row>
    <x:row r="7" ht="96" customHeight="1">
      <x:c r="A7" s="3" t="str">
        <x:v>G006</x:v>
      </x:c>
      <x:c r="B7" s="3" t="str">
        <x:v>Визуальная выборка смещена к дому-музею</x:v>
      </x:c>
      <x:c r="C7" s="3" t="str">
        <x:v>Нет основания для типичности интерьеров и дворов</x:v>
      </x:c>
      <x:c r="D7" s="3" t="str">
        <x:v>Добавить независимых авторов и обычные жилые улицы, не 50 кадров одного музея</x:v>
      </x:c>
      <x:c r="E7" s="3" t="str">
        <x:v>Критично</x:v>
      </x:c>
      <x:c r="F7" s="3" t="str">
        <x:v>Не выполнено; требуется проверка</x:v>
      </x:c>
    </x:row>
    <x:row r="8" ht="96" customHeight="1">
      <x:c r="A8" s="3" t="str">
        <x:v>G007</x:v>
      </x:c>
      <x:c r="B8" s="3" t="str">
        <x:v>Сорта и частота садовых растений не установлены</x:v>
      </x:c>
      <x:c r="C8" s="3" t="str">
        <x:v>Палисадник нельзя выдавать за точную местную ботанику</x:v>
      </x:c>
      <x:c r="D8" s="3" t="str">
        <x:v>Повторная съемка 8 палисадников весной/летом/осенью; опрос хозяев; ботаник</x:v>
      </x:c>
      <x:c r="E8" s="3" t="str">
        <x:v>Высоко</x:v>
      </x:c>
      <x:c r="F8" s="3" t="str">
        <x:v>Не выполнено; требуется проверка</x:v>
      </x:c>
    </x:row>
    <x:row r="9" ht="96" customHeight="1">
      <x:c r="A9" s="3" t="str">
        <x:v>G008</x:v>
      </x:c>
      <x:c r="B9" s="3" t="str">
        <x:v>Локальная речь и ударения не проверены</x:v>
      </x:c>
      <x:c r="C9" s="3" t="str">
        <x:v>Риск искусственной татарской речи</x:v>
      </x:c>
      <x:c r="D9" s="3" t="str">
        <x:v>Редактор-носитель из выбранного района + отдельные проверки старшего и младшего поколения</x:v>
      </x:c>
      <x:c r="E9" s="3" t="str">
        <x:v>Критично</x:v>
      </x:c>
      <x:c r="F9" s="3" t="str">
        <x:v>Не выполнено; требуется проверка</x:v>
      </x:c>
    </x:row>
    <x:row r="10" ht="96" customHeight="1">
      <x:c r="A10" s="3" t="str">
        <x:v>G009</x:v>
      </x:c>
      <x:c r="B10" s="3" t="str">
        <x:v>Содержание шамаиля и права на изображение не выбраны</x:v>
      </x:c>
      <x:c r="C10" s="3" t="str">
        <x:v>Риск бессмысленной или неуместной религиозной надписи</x:v>
      </x:c>
      <x:c r="D10" s="3" t="str">
        <x:v>Музейный паспорт, специалист по арабографической татарской культуре, лицензирование</x:v>
      </x:c>
      <x:c r="E10" s="3" t="str">
        <x:v>Высоко</x:v>
      </x:c>
      <x:c r="F10" s="3" t="str">
        <x:v>Не выполнено; требуется проверка</x:v>
      </x:c>
    </x:row>
    <x:row r="11" ht="96" customHeight="1">
      <x:c r="A11" s="3" t="str">
        <x:v>G010</x:v>
      </x:c>
      <x:c r="B11" s="3" t="str">
        <x:v>Даты газификации, воды и интернета конкретных домов не известны</x:v>
      </x:c>
      <x:c r="C11" s="3" t="str">
        <x:v>Инженерная и медийная хронология условна</x:v>
      </x:c>
      <x:c r="D11" s="3" t="str">
        <x:v>Архив сельского поселения, документы подключений без лишних персональных данных, интервью</x:v>
      </x:c>
      <x:c r="E11" s="3" t="str">
        <x:v>Критично</x:v>
      </x:c>
      <x:c r="F11" s="3" t="str">
        <x:v>Не выполнено; требуется проверка</x:v>
      </x:c>
    </x:row>
    <x:row r="12" ht="96" customHeight="1">
      <x:c r="A12" s="3" t="str">
        <x:v>G011</x:v>
      </x:c>
      <x:c r="B12" s="3" t="str">
        <x:v>Полевой архив Халикова не получен</x:v>
      </x:c>
      <x:c r="C12" s="3" t="str">
        <x:v>Нельзя извлечь обещанные обмеры из сообщения об архиве</x:v>
      </x:c>
      <x:c r="D12" s="3" t="str">
        <x:v>Обращение в Институт истории: опись фондов, цифровые дневники, чертежи с инвентарными номерами</x:v>
      </x:c>
      <x:c r="E12" s="3" t="str">
        <x:v>Высоко</x:v>
      </x:c>
      <x:c r="F12" s="3" t="str">
        <x:v>Не выполнено; требуется проверка</x:v>
      </x:c>
    </x:row>
    <x:row r="13" ht="96" customHeight="1">
      <x:c r="A13" s="3" t="str">
        <x:v>G012</x:v>
      </x:c>
      <x:c r="B13" s="3" t="str">
        <x:v>Издание усадьбы 2011 имеет библиографическое расхождение</x:v>
      </x:c>
      <x:c r="C13" s="3" t="str">
        <x:v>Риск неверной ссылки и смешения изданий</x:v>
      </x:c>
      <x:c r="D13" s="3" t="str">
        <x:v>Снимок титула и оборота, каталог РГБ/РНБ или издательства</x:v>
      </x:c>
      <x:c r="E13" s="3" t="str">
        <x:v>Средне</x:v>
      </x:c>
      <x:c r="F13" s="3" t="str">
        <x:v>Не выполнено; требуется проверка</x:v>
      </x:c>
    </x:row>
    <x:row r="14" ht="96" customHeight="1">
      <x:c r="A14" s="3" t="str">
        <x:v>G013</x:v>
      </x:c>
      <x:c r="B14" s="3" t="str">
        <x:v>Текстильная монография 2022 не прочитана</x:v>
      </x:c>
      <x:c r="C14" s="3" t="str">
        <x:v>Нет музейных размеров/состава ряда тканей</x:v>
      </x:c>
      <x:c r="D14" s="3" t="str">
        <x:v>Получить разрешенный доступ через ИЯЛИ/библиотеку; изучить приложения</x:v>
      </x:c>
      <x:c r="E14" s="3" t="str">
        <x:v>Высоко</x:v>
      </x:c>
      <x:c r="F14" s="3" t="str">
        <x:v>Не выполнено; требуется проверка</x:v>
      </x:c>
    </x:row>
    <x:row r="15" ht="96" customHeight="1">
      <x:c r="A15" s="3" t="str">
        <x:v>G014</x:v>
      </x:c>
      <x:c r="B15" s="3" t="str">
        <x:v>Отсутствуют повторные сезонные ракурсы обычного дома</x:v>
      </x:c>
      <x:c r="C15" s="3" t="str">
        <x:v>Сезонный атлас — сравнительное предложение</x:v>
      </x:c>
      <x:c r="D15" s="3" t="str">
        <x:v>Одна фиксированная точка съемки в 8 состояниях, включая оттепель</x:v>
      </x:c>
      <x:c r="E15" s="3" t="str">
        <x:v>Высоко</x:v>
      </x:c>
      <x:c r="F15" s="3" t="str">
        <x:v>Не выполнено; требуется проверка</x:v>
      </x:c>
    </x:row>
    <x:row r="16" ht="96" customHeight="1">
      <x:c r="A16" s="3" t="str">
        <x:v>G015</x:v>
      </x:c>
      <x:c r="B16" s="3" t="str">
        <x:v>Местное звучание религиозной и общественной жизни не установлено</x:v>
      </x:c>
      <x:c r="C16" s="3" t="str">
        <x:v>Нельзя назначать постоянный азан или музыку из клуба</x:v>
      </x:c>
      <x:c r="D16" s="3" t="str">
        <x:v>С согласия сообщества уточнить расписание, усиление, дистанции и правила записи</x:v>
      </x:c>
      <x:c r="E16" s="3" t="str">
        <x:v>Высоко</x:v>
      </x:c>
      <x:c r="F16" s="3" t="str">
        <x:v>Не выполнено; требуется проверка</x:v>
      </x:c>
    </x:row>
    <x:row r="17" ht="96" customHeight="1">
      <x:c r="A17" s="3" t="str">
        <x:v>G016</x:v>
      </x:c>
      <x:c r="B17" s="3" t="str">
        <x:v>Не проверены музейные каталоги по всем обязательным учреждениям</x:v>
      </x:c>
      <x:c r="C17" s="3" t="str">
        <x:v>Предметные сведения ограничены фотографиями и текстами</x:v>
      </x:c>
      <x:c r="D17" s="3" t="str">
        <x:v>Национальный музей РТ, ГМИИ РТ, РЭМ, МАЭ, Госкаталог: карточки выбранных предметов</x:v>
      </x:c>
      <x:c r="E17" s="3" t="str">
        <x:v>Высоко</x:v>
      </x:c>
      <x:c r="F17" s="3" t="str">
        <x:v>Не выполнено; требуется проверка</x:v>
      </x:c>
    </x:row>
    <x:row r="18" ht="96" customHeight="1">
      <x:c r="A18" s="3" t="str">
        <x:v>G017</x:v>
      </x:c>
      <x:c r="B18" s="3" t="str">
        <x:v>Нет балетно-театрального и иллюстративного корпуса с правами</x:v>
      </x:c>
      <x:c r="C18" s="3" t="str">
        <x:v>Современные художественные слои описаны как направления, не изученная иконография</x:v>
      </x:c>
      <x:c r="D18" s="3" t="str">
        <x:v>Сверить издания иллюстраций, постановки, костюмы и права; не копировать сценический образ</x:v>
      </x:c>
      <x:c r="E18" s="3" t="str">
        <x:v>Средне</x:v>
      </x:c>
      <x:c r="F18" s="3" t="str">
        <x:v>Не выполнено; требуется проверка</x:v>
      </x:c>
    </x:row>
    <x:row r="19" ht="96" customHeight="1">
      <x:c r="A19" s="3" t="str">
        <x:v>G018</x:v>
      </x:c>
      <x:c r="B19" s="3" t="str">
        <x:v>Не установлена статистическая распространенность техники и автомобилей</x:v>
      </x:c>
      <x:c r="C19" s="3" t="str">
        <x:v>Предлагаемые комплекты не показывают доли устройств</x:v>
      </x:c>
      <x:c r="D19" s="3" t="str">
        <x:v>Домохозяйственные опросы/датированные семейные фото; дату модели сверять с изготовителем</x:v>
      </x:c>
      <x:c r="E19" s="3" t="str">
        <x:v>Высоко</x:v>
      </x:c>
      <x:c r="F19" s="3" t="str">
        <x:v>Не выполнено; требуется проверка</x:v>
      </x:c>
    </x:row>
  </x:sheetData>
  <x:pageMargins left="0.7" right="0.7" top="0.75" bottom="0.75" header="0.3" footer="0.3"/>
  <x:tableParts count="1">
    <x:tablePart xmlns:r="http://schemas.openxmlformats.org/officeDocument/2006/relationships" r:id="Rb731e6d1d4e1476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23" hidden="0" customWidth="1"/>
    <x:col min="13" max="13" width="23" hidden="0" customWidth="1"/>
    <x:col min="14" max="14" width="23" hidden="0" customWidth="1"/>
    <x:col min="15" max="15" width="40" hidden="0" customWidth="1"/>
  </x:cols>
  <x:sheetData>
    <x:row r="1" ht="42" customHeight="1">
      <x:c r="A1" s="8" t="str">
        <x:v>household_id</x:v>
      </x:c>
      <x:c r="B1" s="8" t="str">
        <x:v>name</x:v>
      </x:c>
      <x:c r="C1" s="8" t="str">
        <x:v>family</x:v>
      </x:c>
      <x:c r="D1" s="8" t="str">
        <x:v>time</x:v>
      </x:c>
      <x:c r="E1" s="8" t="str">
        <x:v>building</x:v>
      </x:c>
      <x:c r="F1" s="8" t="str">
        <x:v>interior</x:v>
      </x:c>
      <x:c r="G1" s="8" t="str">
        <x:v>water</x:v>
      </x:c>
      <x:c r="H1" s="8" t="str">
        <x:v>yard</x:v>
      </x:c>
      <x:c r="I1" s="8" t="str">
        <x:v>repair_history</x:v>
      </x:c>
      <x:c r="J1" s="8" t="str">
        <x:v>must_not</x:v>
      </x:c>
      <x:c r="K1" s="8" t="str">
        <x:v>plan</x:v>
      </x:c>
      <x:c r="L1" s="8" t="str">
        <x:v>evidence_status</x:v>
      </x:c>
      <x:c r="M1" s="8" t="str">
        <x:v>source_ids</x:v>
      </x:c>
      <x:c r="N1" s="8" t="str">
        <x:v>claim_ids</x:v>
      </x:c>
      <x:c r="O1" s="8" t="str">
        <x:v>source_urls</x:v>
      </x:c>
    </x:row>
    <x:row r="2" ht="96" customHeight="1">
      <x:c r="A2" s="3" t="str">
        <x:v>H01</x:v>
      </x:c>
      <x:c r="B2" s="3" t="str">
        <x:v>Старый поддерживаемый дом</x:v>
      </x:c>
      <x:c r="C2" s="3" t="str">
        <x:v>Пожилой хозяин/хозяйка; родственники приезжают</x:v>
      </x:c>
      <x:c r="D2" s="3" t="str">
        <x:v>2015, проектная биография</x:v>
      </x:c>
      <x:c r="E2" s="3" t="str">
        <x:v>Срубный одноэтажный корпус 8×7 м; боковые сени 2×4 м; локально замененная кровля</x:v>
      </x:c>
      <x:c r="F2" s="3" t="str">
        <x:v>Сохраненная печь как действующий источник тепла; серийная мебель позднего XX в.; отдельное место сложенного текстиля; электрический чайник</x:v>
      </x:c>
      <x:c r="G2" s="3" t="str">
        <x:v>Умывальная зона с емкостью; вода не возникает в кране без выбранного подключения</x:v>
      </x:c>
      <x:c r="H2" s="3" t="str">
        <x:v>Огород меньшего объема, дровник, баня, хозяйственный сарай без обязательного скота</x:v>
      </x:c>
      <x:c r="I2" s="3" t="str">
        <x:v>Условно 1980-е мебель; условно 2008 ремонт крыши; даты художественные</x:v>
      </x:c>
      <x:c r="J2" s="3" t="str">
        <x:v>Не полный музей; не ежедневная готовка только в печи; не обязательная бедность</x:v>
      </x:c>
      <x:c r="K2" s="3" t="str">
        <x:v>diagrams/interiors/H01_plan.svg</x:v>
      </x:c>
      <x:c r="L2" s="3" t="str">
        <x:v>Предложено для игры</x:v>
      </x:c>
      <x:c r="M2" s="3" t="str">
        <x:v>["S008", "S011", "S012", "S013", "S014"]</x:v>
      </x:c>
      <x:c r="N2" s="3" t="str">
        <x:v>["C013", "C020", "C021", "C032"]</x:v>
      </x:c>
      <x:c r="O2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  <x:row r="3" ht="96" customHeight="1">
      <x:c r="A3" s="3" t="str">
        <x:v>H02</x:v>
      </x:c>
      <x:c r="B3" s="3" t="str">
        <x:v>Частично модернизированный семейный дом</x:v>
      </x:c>
      <x:c r="C3" s="3" t="str">
        <x:v>Двое взрослых, школьник, приезжающая бабушка</x:v>
      </x:c>
      <x:c r="D3" s="3" t="str">
        <x:v>2015, проектная биография</x:v>
      </x:c>
      <x:c r="E3" s="3" t="str">
        <x:v>Корпус 10×8 м, сени 3×4 м, участок 22×55 м; три фронтальных окна</x:v>
      </x:c>
      <x:c r="F3" s="3" t="str">
        <x:v>Жилая комната, спальня, кухня, Т-образная связующая зона, санитарная и техническая комнаты; радиаторное отопление</x:v>
      </x:c>
      <x:c r="G3" s="3" t="str">
        <x:v>Мойка, санузел и стиральная машина объединены выбранной схемой воды и отвода; источник тепла в задней технической зоне</x:v>
      </x:c>
      <x:c r="H3" s="3" t="str">
        <x:v>Проезд справа; сарай, дровник и баня в глубине; огород после хозяйственной зоны</x:v>
      </x:c>
      <x:c r="I3" s="3" t="str">
        <x:v>Условно советский корпус; условно 2009 металлическая кровля; условно 2013 частичная замена окон</x:v>
      </x:c>
      <x:c r="J3" s="3" t="str">
        <x:v>Кухонное окно не должно оказаться за сенями; крыльцо не перекрывает проезд; телевизор не перекрывает дверной проход</x:v>
      </x:c>
      <x:c r="K3" s="3" t="str">
        <x:v>diagrams/interiors/H02_plan.svg</x:v>
      </x:c>
      <x:c r="L3" s="3" t="str">
        <x:v>Предложено для игры</x:v>
      </x:c>
      <x:c r="M3" s="3" t="str">
        <x:v>["S008", "S011", "S012", "S013", "S014"]</x:v>
      </x:c>
      <x:c r="N3" s="3" t="str">
        <x:v>["C013", "C020", "C021", "C032"]</x:v>
      </x:c>
      <x:c r="O3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  <x:row r="4" ht="96" customHeight="1">
      <x:c r="A4" s="3" t="str">
        <x:v>H03</x:v>
      </x:c>
      <x:c r="B4" s="3" t="str">
        <x:v>Дом семьи с активным хозяйством</x:v>
      </x:c>
      <x:c r="C4" s="3" t="str">
        <x:v>Несколько взрослых; работа на участке и вне него; дети не выполняют все хозяйство</x:v>
      </x:c>
      <x:c r="D4" s="3" t="str">
        <x:v>2015, проектная биография</x:v>
      </x:c>
      <x:c r="E4" s="3" t="str">
        <x:v>Корпус 11×8 м с хозяйственно ориентированным боковым входом</x:v>
      </x:c>
      <x:c r="F4" s="3" t="str">
        <x:v>Отдельная грязная входная зона; обычная кухня и чистая жилая комната; дополнительное хранение</x:v>
      </x:c>
      <x:c r="G4" s="3" t="str">
        <x:v>Разделены питьевая вода, хозяйственная емкость и вода для животных; не общая декоративная бочка</x:v>
      </x:c>
      <x:c r="H4" s="3" t="str">
        <x:v>Два функциональных сектора; корм и подстилка рядом с сараем; путь тележки не через цветник</x:v>
      </x:c>
      <x:c r="I4" s="3" t="str">
        <x:v>Разные пристройки объясняются расширением хозяйства, а не случайным набором фасадов</x:v>
      </x:c>
      <x:c r="J4" s="3" t="str">
        <x:v>Не держать навоз у входа в кухню; не превращать рабочий двор в непрерывный зеленый газон</x:v>
      </x:c>
      <x:c r="K4" s="3" t="str">
        <x:v>diagrams/interiors/H03_plan.svg</x:v>
      </x:c>
      <x:c r="L4" s="3" t="str">
        <x:v>Предложено для игры</x:v>
      </x:c>
      <x:c r="M4" s="3" t="str">
        <x:v>["S008", "S011", "S012", "S013", "S014"]</x:v>
      </x:c>
      <x:c r="N4" s="3" t="str">
        <x:v>["C013", "C020", "C021", "C032"]</x:v>
      </x:c>
      <x:c r="O4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  <x:row r="5" ht="96" customHeight="1">
      <x:c r="A5" s="3" t="str">
        <x:v>H04</x:v>
      </x:c>
      <x:c r="B5" s="3" t="str">
        <x:v>Более новый дом с городской связью</x:v>
      </x:c>
      <x:c r="C5" s="3" t="str">
        <x:v>Работающие в районе/городе взрослые, регулярный автомобиль</x:v>
      </x:c>
      <x:c r="D5" s="3" t="str">
        <x:v>2015, проектная биография</x:v>
      </x:c>
      <x:c r="E5" s="3" t="str">
        <x:v>Одноэтажный корпус 12×9 м; более цельный ремонт; гараж или навес отдельно</x:v>
      </x:c>
      <x:c r="F5" s="3" t="str">
        <x:v>Современная кухня; компактные спальни; рабочее место; несколько семейных старых предметов</x:v>
      </x:c>
      <x:c r="G5" s="3" t="str">
        <x:v>Полная бытовая инженерия как выбранное свойство конкретного дома, не средний уровень села</x:v>
      </x:c>
      <x:c r="H5" s="3" t="str">
        <x:v>Больше твердого покрытия для парковки, меньше хозяйственных построек; возможен небольшой огород</x:v>
      </x:c>
      <x:c r="I5" s="3" t="str">
        <x:v>Условное строительство 2007–2010; часть мебели переехала от родителей</x:v>
      </x:c>
      <x:c r="J5" s="3" t="str">
        <x:v>Не делать коттедж показателем отсутствия татарской культуры; не добавлять музейный комплект ради этничности</x:v>
      </x:c>
      <x:c r="K5" s="3" t="str">
        <x:v>diagrams/interiors/H04_plan.svg</x:v>
      </x:c>
      <x:c r="L5" s="3" t="str">
        <x:v>Предложено для игры</x:v>
      </x:c>
      <x:c r="M5" s="3" t="str">
        <x:v>["S008", "S011", "S012", "S013", "S014"]</x:v>
      </x:c>
      <x:c r="N5" s="3" t="str">
        <x:v>["C013", "C020", "C021", "C032"]</x:v>
      </x:c>
      <x:c r="O5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  <x:row r="6" ht="96" customHeight="1">
      <x:c r="A6" s="3" t="str">
        <x:v>H05</x:v>
      </x:c>
      <x:c r="B6" s="3" t="str">
        <x:v>Сезонно используемая усадьба</x:v>
      </x:c>
      <x:c r="C6" s="3" t="str">
        <x:v>Семья живет в городе, приезжает на выходные/лето</x:v>
      </x:c>
      <x:c r="D6" s="3" t="str">
        <x:v>2015, проектная биография</x:v>
      </x:c>
      <x:c r="E6" s="3" t="str">
        <x:v>Старый корпус 8×7 м; сени и отдельный сарай</x:v>
      </x:c>
      <x:c r="F6" s="3" t="str">
        <x:v>Сохраненная мебель, простая кухонная зона, складное дополнительное спальное место; меньше повседневного мелкого беспорядка зимой</x:v>
      </x:c>
      <x:c r="G6" s="3" t="str">
        <x:v>Зимнее отключение воды предусмотрено только как выбранная история, не универсальное правило</x:v>
      </x:c>
      <x:c r="H6" s="3" t="str">
        <x:v>Нерегулярный покос по границам; основная дорожка может быть чистой в день приезда</x:v>
      </x:c>
      <x:c r="I6" s="3" t="str">
        <x:v>Одна недавно замененная дверь рядом с старой отделкой; необходимые, а не декоративные ремонты</x:v>
      </x:c>
      <x:c r="J6" s="3" t="str">
        <x:v>Сезонность не равна заброшенности; летом электричество и холодильник могут работать</x:v>
      </x:c>
      <x:c r="K6" s="3" t="str">
        <x:v>diagrams/interiors/H05_plan.svg</x:v>
      </x:c>
      <x:c r="L6" s="3" t="str">
        <x:v>Предложено для игры</x:v>
      </x:c>
      <x:c r="M6" s="3" t="str">
        <x:v>["S008", "S011", "S012", "S013", "S014"]</x:v>
      </x:c>
      <x:c r="N6" s="3" t="str">
        <x:v>["C013", "C020", "C021", "C032"]</x:v>
      </x:c>
      <x:c r="O6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  <x:row r="7" ht="96" customHeight="1">
      <x:c r="A7" s="3" t="str">
        <x:v>H06</x:v>
      </x:c>
      <x:c r="B7" s="3" t="str">
        <x:v>Отдельное неиспользуемое хозяйство</x:v>
      </x:c>
      <x:c r="C7" s="3" t="str">
        <x:v>Не задается по внешности здания</x:v>
      </x:c>
      <x:c r="D7" s="3" t="str">
        <x:v>2015, проектный контраст</x:v>
      </x:c>
      <x:c r="E7" s="3" t="str">
        <x:v>Один пустующий объект вне основной линии ухоженных домов</x:v>
      </x:c>
      <x:c r="F7" s="3" t="str">
        <x:v>Только после выбора причины прекращения пользования; не универсальные ковры, детские игрушки и мистические надписи</x:v>
      </x:c>
      <x:c r="G7" s="3" t="str">
        <x:v>Не изображать рабочие краны и свежие теплые батареи в полностью отключенном доме</x:v>
      </x:c>
      <x:c r="H7" s="3" t="str">
        <x:v>Зарастание по последовательности: редко используемые зоны прежде главной дорожки</x:v>
      </x:c>
      <x:c r="I7" s="3" t="str">
        <x:v>Локальные дефекты с причиной: неработающий водосток, протечка, отсутствие обслуживания</x:v>
      </x:c>
      <x:c r="J7" s="3" t="str">
        <x:v>Запустение не характеристика этноса и не фон всей деревни</x:v>
      </x:c>
      <x:c r="K7" s="3" t="str"/>
      <x:c r="L7" s="3" t="str">
        <x:v>Предложено для игры</x:v>
      </x:c>
      <x:c r="M7" s="3" t="str">
        <x:v>["S008", "S011", "S012", "S013", "S014"]</x:v>
      </x:c>
      <x:c r="N7" s="3" t="str">
        <x:v>["C013", "C020", "C021", "C032"]</x:v>
      </x:c>
      <x:c r="O7" s="3" t="str">
        <x:v>https://cheloveknauka.com/interier-zhilischa-volgo-uralskih-tatar-razvitie-i-etnokulturnaya-spetsifika
https://almet-history.tatneft.ru/istoriya/traditsionnaya-kultura/remesla-i-narodnoe-iskusstvo/d-k/zhilishche-narodnoe?lang=ru
https://almet-history.tatneft.ru/istoriya/traditsionnaya-kultura/remesla-i-narodnoe-iskusstvo/d-k/interer?lang=ru
https://historicalethnology.org/news/2024-t9-n2-4/
https://historicalethnology.org/news/2024-t9-n2-10/</x:v>
      </x:c>
    </x:row>
  </x:sheetData>
  <x:conditionalFormatting sqref="L2:L7">
    <x:cfRule type="expression" dxfId="4" priority="1">
      <x:formula>L2="Предложено для игры"</x:formula>
    </x:cfRule>
    <x:cfRule type="expression" dxfId="5" priority="2">
      <x:formula>L2="Не установлено"</x:formula>
    </x:cfRule>
  </x:conditionalFormatting>
  <x:dataValidations count="1">
    <x:dataValidation type="list" sqref="L2:L7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73b8f6813405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4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34" hidden="0" customWidth="1"/>
    <x:col min="24" max="24" width="34" hidden="0" customWidth="1"/>
    <x:col min="25" max="25" width="40" hidden="0" customWidth="1"/>
  </x:cols>
  <x:sheetData>
    <x:row r="1" ht="42" customHeight="1">
      <x:c r="A1" s="8" t="str">
        <x:v>asset_id</x:v>
      </x:c>
      <x:c r="B1" s="8" t="str">
        <x:v>name_ru</x:v>
      </x:c>
      <x:c r="C1" s="8" t="str">
        <x:v>name_tt</x:v>
      </x:c>
      <x:c r="D1" s="8" t="str">
        <x:v>category</x:v>
      </x:c>
      <x:c r="E1" s="8" t="str">
        <x:v>function</x:v>
      </x:c>
      <x:c r="F1" s="8" t="str">
        <x:v>region</x:v>
      </x:c>
      <x:c r="G1" s="8" t="str">
        <x:v>time_period</x:v>
      </x:c>
      <x:c r="H1" s="8" t="str">
        <x:v>household_context</x:v>
      </x:c>
      <x:c r="I1" s="8" t="str">
        <x:v>shape_and_proportions</x:v>
      </x:c>
      <x:c r="J1" s="8" t="str">
        <x:v>dimensions</x:v>
      </x:c>
      <x:c r="K1" s="8" t="str">
        <x:v>materials</x:v>
      </x:c>
      <x:c r="L1" s="8" t="str">
        <x:v>surface_and_color</x:v>
      </x:c>
      <x:c r="M1" s="8" t="str">
        <x:v>construction_details</x:v>
      </x:c>
      <x:c r="N1" s="8" t="str">
        <x:v>placement</x:v>
      </x:c>
      <x:c r="O1" s="8" t="str">
        <x:v>neighboring_objects</x:v>
      </x:c>
      <x:c r="P1" s="8" t="str">
        <x:v>wear_and_repair</x:v>
      </x:c>
      <x:c r="Q1" s="8" t="str">
        <x:v>seasonal_variants</x:v>
      </x:c>
      <x:c r="R1" s="8" t="str">
        <x:v>sound</x:v>
      </x:c>
      <x:c r="S1" s="8" t="str">
        <x:v>evidence_status</x:v>
      </x:c>
      <x:c r="T1" s="8" t="str">
        <x:v>claim_ids</x:v>
      </x:c>
      <x:c r="U1" s="8" t="str">
        <x:v>source_ids</x:v>
      </x:c>
      <x:c r="V1" s="8" t="str">
        <x:v>visual_reference_ids</x:v>
      </x:c>
      <x:c r="W1" s="8" t="str">
        <x:v>production_priority</x:v>
      </x:c>
      <x:c r="X1" s="8" t="str">
        <x:v>common_mistakes</x:v>
      </x:c>
      <x:c r="Y1" s="8" t="str">
        <x:v>source_urls</x:v>
      </x:c>
    </x:row>
    <x:row r="2" ht="96" customHeight="1">
      <x:c r="A2" s="3" t="str">
        <x:v>A001</x:v>
      </x:c>
      <x:c r="B2" s="3" t="str">
        <x:v>Асфальтовая полоса</x:v>
      </x:c>
      <x:c r="C2" s="3" t="str"/>
      <x:c r="D2" s="3" t="str">
        <x:v>Улица</x:v>
      </x:c>
      <x:c r="E2" s="3" t="str">
        <x:v>Связь центра и въезда</x:v>
      </x:c>
      <x:c r="F2" s="3" t="str">
        <x:v>Вымышленная деревня верховьев Ии, Арская модель</x:v>
      </x:c>
      <x:c r="G2" s="3" t="str">
        <x:v>2015 ±1, производственный ориентир</x:v>
      </x:c>
      <x:c r="H2" s="3" t="str">
        <x:v>Все</x:v>
      </x:c>
      <x:c r="I2" s="3" t="str">
        <x:v>ST01: полоса 4,5 м, края не обязаны быть параллельными</x:v>
      </x:c>
      <x:c r="J2" s="3" t="str">
        <x:v>См. dimensions.csv; иначе конкретный размер не установлен и назначается проектом</x:v>
      </x:c>
      <x:c r="K2" s="3" t="str">
        <x:v>Асфальт; щебеночные заделки</x:v>
      </x:c>
      <x:c r="L2" s="3" t="str">
        <x:v>Тон назначать под освещение; не извлекать точный RGB из референса</x:v>
      </x:c>
      <x:c r="M2" s="3" t="str">
        <x:v>ST01: полоса 4,5 м, края не обязаны быть параллельными</x:v>
      </x:c>
      <x:c r="N2" s="3" t="str">
        <x:v>Между обочинами</x:v>
      </x:c>
      <x:c r="O2" s="3" t="str">
        <x:v>Канава, въезды</x:v>
      </x:c>
      <x:c r="P2" s="3" t="str">
        <x:v>Пятна ремонта привязаны к провалам/пересечениям; без равномерных трещин</x:v>
      </x:c>
      <x:c r="Q2" s="3" t="str">
        <x:v>См. сезонный атлас и паспорт сцены</x:v>
      </x:c>
      <x:c r="R2" s="3" t="str">
        <x:v>Шины, шаги, вода</x:v>
      </x:c>
      <x:c r="S2" s="3" t="str">
        <x:v>Предложено для игры</x:v>
      </x:c>
      <x:c r="T2" s="3" t="str">
        <x:v>["C038"]</x:v>
      </x:c>
      <x:c r="U2" s="3" t="str">
        <x:v>["S014", "S101"]</x:v>
      </x:c>
      <x:c r="V2" s="3" t="str">
        <x:v>["V001"]</x:v>
      </x:c>
      <x:c r="W2" s="3" t="str">
        <x:v>P0</x:v>
      </x:c>
      <x:c r="X2" s="3" t="str">
        <x:v>Не выдавать предложенную комбинацию и размеры за обследованный типичный объект</x:v>
      </x:c>
      <x:c r="Y2" s="3" t="str">
        <x:v>https://historicalethnology.org/news/2024-t9-n2-10/
https://commons.wikimedia.org/wiki/File:New_Kyrlai_(2021-04-26)_01.jpg</x:v>
      </x:c>
    </x:row>
    <x:row r="3" ht="96" customHeight="1">
      <x:c r="A3" s="3" t="str">
        <x:v>A002</x:v>
      </x:c>
      <x:c r="B3" s="3" t="str">
        <x:v>Обочина</x:v>
      </x:c>
      <x:c r="C3" s="3" t="str"/>
      <x:c r="D3" s="3" t="str">
        <x:v>Улица</x:v>
      </x:c>
      <x:c r="E3" s="3" t="str">
        <x:v>Сход с дороги, край водоотведения</x:v>
      </x:c>
      <x:c r="F3" s="3" t="str">
        <x:v>Вымышленная деревня верховьев Ии, Арская модель</x:v>
      </x:c>
      <x:c r="G3" s="3" t="str">
        <x:v>2015 ±1, производственный ориентир</x:v>
      </x:c>
      <x:c r="H3" s="3" t="str">
        <x:v>Все</x:v>
      </x:c>
      <x:c r="I3" s="3" t="str">
        <x:v>0,75 м в ST01; местное расширение у ворот</x:v>
      </x:c>
      <x:c r="J3" s="3" t="str">
        <x:v>См. dimensions.csv; иначе конкретный размер не установлен и назначается проектом</x:v>
      </x:c>
      <x:c r="K3" s="3" t="str">
        <x:v>Щебень, уплотненный грунт, редкая трава</x:v>
      </x:c>
      <x:c r="L3" s="3" t="str">
        <x:v>Тон назначать под освещение; не извлекать точный RGB из референса</x:v>
      </x:c>
      <x:c r="M3" s="3" t="str">
        <x:v>0,75 м в ST01; местное расширение у ворот</x:v>
      </x:c>
      <x:c r="N3" s="3" t="str">
        <x:v>Снаружи проезжей части</x:v>
      </x:c>
      <x:c r="O3" s="3" t="str">
        <x:v>Канава, столб</x:v>
      </x:c>
      <x:c r="P3" s="3" t="str">
        <x:v>Колеи при съезде; влажность ниже дорожного полотна</x:v>
      </x:c>
      <x:c r="Q3" s="3" t="str">
        <x:v>См. сезонный атлас и паспорт сцены</x:v>
      </x:c>
      <x:c r="R3" s="3" t="str">
        <x:v>Хруст/мокрый шаг</x:v>
      </x:c>
      <x:c r="S3" s="3" t="str">
        <x:v>Предложено для игры</x:v>
      </x:c>
      <x:c r="T3" s="3" t="str">
        <x:v>["C038"]</x:v>
      </x:c>
      <x:c r="U3" s="3" t="str">
        <x:v>["S101"]</x:v>
      </x:c>
      <x:c r="V3" s="3" t="str">
        <x:v>["V001"]</x:v>
      </x:c>
      <x:c r="W3" s="3" t="str">
        <x:v>P0</x:v>
      </x:c>
      <x:c r="X3" s="3" t="str">
        <x:v>Не выдавать предложенную комбинацию и размеры за обследованный типичный объект</x:v>
      </x:c>
      <x:c r="Y3" s="3" t="str">
        <x:v>https://commons.wikimedia.org/wiki/File:New_Kyrlai_(2021-04-26)_01.jpg</x:v>
      </x:c>
    </x:row>
    <x:row r="4" ht="96" customHeight="1">
      <x:c r="A4" s="3" t="str">
        <x:v>A003</x:v>
      </x:c>
      <x:c r="B4" s="3" t="str">
        <x:v>Водоотводная канава</x:v>
      </x:c>
      <x:c r="C4" s="3" t="str"/>
      <x:c r="D4" s="3" t="str">
        <x:v>Улица</x:v>
      </x:c>
      <x:c r="E4" s="3" t="str">
        <x:v>Принимает сток, не декоративный ров</x:v>
      </x:c>
      <x:c r="F4" s="3" t="str">
        <x:v>Вымышленная деревня верховьев Ии, Арская модель</x:v>
      </x:c>
      <x:c r="G4" s="3" t="str">
        <x:v>2015 ±1, производственный ориентир</x:v>
      </x:c>
      <x:c r="H4" s="3" t="str">
        <x:v>Все</x:v>
      </x:c>
      <x:c r="I4" s="3" t="str">
        <x:v>1 м в плане; глубина 0,35 м — проект</x:v>
      </x:c>
      <x:c r="J4" s="3" t="str">
        <x:v>См. dimensions.csv; иначе конкретный размер не установлен и назначается проектом</x:v>
      </x:c>
      <x:c r="K4" s="3" t="str">
        <x:v>Грунт, травяной покров, локальные укрепления</x:v>
      </x:c>
      <x:c r="L4" s="3" t="str">
        <x:v>Тон назначать под освещение; не извлекать точный RGB из референса</x:v>
      </x:c>
      <x:c r="M4" s="3" t="str">
        <x:v>1 м в плане; глубина 0,35 м — проект</x:v>
      </x:c>
      <x:c r="N4" s="3" t="str">
        <x:v>Вдоль улицы, под проездом закрытый переход</x:v>
      </x:c>
      <x:c r="O4" s="3" t="str">
        <x:v>Обочина, труба въезда</x:v>
      </x:c>
      <x:c r="P4" s="3" t="str">
        <x:v>Ил в низких точках; осевшая трава по потоку; мусор не равномерно</x:v>
      </x:c>
      <x:c r="Q4" s="3" t="str">
        <x:v>См. сезонный атлас и паспорт сцены</x:v>
      </x:c>
      <x:c r="R4" s="3" t="str">
        <x:v>Вода только при наличии расхода</x:v>
      </x:c>
      <x:c r="S4" s="3" t="str">
        <x:v>Предложено для игры</x:v>
      </x:c>
      <x:c r="T4" s="3" t="str">
        <x:v>["C038"]</x:v>
      </x:c>
      <x:c r="U4" s="3" t="str">
        <x:v>["S014", "S101"]</x:v>
      </x:c>
      <x:c r="V4" s="3" t="str">
        <x:v>["V001"]</x:v>
      </x:c>
      <x:c r="W4" s="3" t="str">
        <x:v>P0</x:v>
      </x:c>
      <x:c r="X4" s="3" t="str">
        <x:v>Не выдавать предложенную комбинацию и размеры за обследованный типичный объект</x:v>
      </x:c>
      <x:c r="Y4" s="3" t="str">
        <x:v>https://historicalethnology.org/news/2024-t9-n2-10/
https://commons.wikimedia.org/wiki/File:New_Kyrlai_(2021-04-26)_01.jpg</x:v>
      </x:c>
    </x:row>
    <x:row r="5" ht="96" customHeight="1">
      <x:c r="A5" s="3" t="str">
        <x:v>A004</x:v>
      </x:c>
      <x:c r="B5" s="3" t="str">
        <x:v>Переезд через канаву</x:v>
      </x:c>
      <x:c r="C5" s="3" t="str"/>
      <x:c r="D5" s="3" t="str">
        <x:v>Улица</x:v>
      </x:c>
      <x:c r="E5" s="3" t="str">
        <x:v>Доступ машины во двор</x:v>
      </x:c>
      <x:c r="F5" s="3" t="str">
        <x:v>Вымышленная деревня верховьев Ии, Арская модель</x:v>
      </x:c>
      <x:c r="G5" s="3" t="str">
        <x:v>2015 ±1, производственный ориентир</x:v>
      </x:c>
      <x:c r="H5" s="3" t="str">
        <x:v>H02</x:v>
      </x:c>
      <x:c r="I5" s="3" t="str">
        <x:v>Полоса совпадает с воротами; проезд не обрывает канаву</x:v>
      </x:c>
      <x:c r="J5" s="3" t="str">
        <x:v>См. dimensions.csv; иначе конкретный размер не установлен и назначается проектом</x:v>
      </x:c>
      <x:c r="K5" s="3" t="str">
        <x:v>Уплотненная засыпка; труба как проект</x:v>
      </x:c>
      <x:c r="L5" s="3" t="str">
        <x:v>Тон назначать под освещение; не извлекать точный RGB из референса</x:v>
      </x:c>
      <x:c r="M5" s="3" t="str">
        <x:v>Полоса совпадает с воротами; проезд не обрывает канаву</x:v>
      </x:c>
      <x:c r="N5" s="3" t="str">
        <x:v>Перед воротами H02</x:v>
      </x:c>
      <x:c r="O5" s="3" t="str">
        <x:v>Канава, стойки ворот</x:v>
      </x:c>
      <x:c r="P5" s="3" t="str">
        <x:v>Просадка на стыке с дорогой, свежая подсыпка</x:v>
      </x:c>
      <x:c r="Q5" s="3" t="str">
        <x:v>См. сезонный атлас и паспорт сцены</x:v>
      </x:c>
      <x:c r="R5" s="3" t="str">
        <x:v>Шины меняют покрытие</x:v>
      </x:c>
      <x:c r="S5" s="3" t="str">
        <x:v>Предложено для игры</x:v>
      </x:c>
      <x:c r="T5" s="3" t="str">
        <x:v>["C038"]</x:v>
      </x:c>
      <x:c r="U5" s="3" t="str">
        <x:v>["S101"]</x:v>
      </x:c>
      <x:c r="V5" s="3" t="str">
        <x:v>["V001"]</x:v>
      </x:c>
      <x:c r="W5" s="3" t="str">
        <x:v>P0</x:v>
      </x:c>
      <x:c r="X5" s="3" t="str">
        <x:v>Не выдавать предложенную комбинацию и размеры за обследованный типичный объект</x:v>
      </x:c>
      <x:c r="Y5" s="3" t="str">
        <x:v>https://commons.wikimedia.org/wiki/File:New_Kyrlai_(2021-04-26)_01.jpg</x:v>
      </x:c>
    </x:row>
    <x:row r="6" ht="96" customHeight="1">
      <x:c r="A6" s="3" t="str">
        <x:v>A005</x:v>
      </x:c>
      <x:c r="B6" s="3" t="str">
        <x:v>Опора и воздушная линия</x:v>
      </x:c>
      <x:c r="C6" s="3" t="str"/>
      <x:c r="D6" s="3" t="str">
        <x:v>Инфраструктура</x:v>
      </x:c>
      <x:c r="E6" s="3" t="str">
        <x:v>Электроснабжение и выбранный светильник</x:v>
      </x:c>
      <x:c r="F6" s="3" t="str">
        <x:v>Вымышленная деревня верховьев Ии, Арская модель</x:v>
      </x:c>
      <x:c r="G6" s="3" t="str">
        <x:v>2015 ±1, производственный ориентир</x:v>
      </x:c>
      <x:c r="H6" s="3" t="str">
        <x:v>Все</x:v>
      </x:c>
      <x:c r="I6" s="3" t="str">
        <x:v>Одна согласованная линия, ввод к фасаду</x:v>
      </x:c>
      <x:c r="J6" s="3" t="str">
        <x:v>См. dimensions.csv; иначе конкретный размер не установлен и назначается проектом</x:v>
      </x:c>
      <x:c r="K6" s="3" t="str">
        <x:v>Бетонная опора, металл, изоляционные элементы</x:v>
      </x:c>
      <x:c r="L6" s="3" t="str">
        <x:v>Тон назначать под освещение; не извлекать точный RGB из референса</x:v>
      </x:c>
      <x:c r="M6" s="3" t="str">
        <x:v>Одна согласованная линия, ввод к фасаду</x:v>
      </x:c>
      <x:c r="N6" s="3" t="str">
        <x:v>В зеленой полосе, не в створе ворот</x:v>
      </x:c>
      <x:c r="O6" s="3" t="str">
        <x:v>Дорога, ввод дома</x:v>
      </x:c>
      <x:c r="P6" s="3" t="str">
        <x:v>Потек под креплением; не случайные оборванные провода</x:v>
      </x:c>
      <x:c r="Q6" s="3" t="str">
        <x:v>См. сезонный атлас и паспорт сцены</x:v>
      </x:c>
      <x:c r="R6" s="3" t="str">
        <x:v>В штатном фоне почти не акцентируется</x:v>
      </x:c>
      <x:c r="S6" s="3" t="str">
        <x:v>Предложено для игры</x:v>
      </x:c>
      <x:c r="T6" s="3" t="str">
        <x:v>["C038"]</x:v>
      </x:c>
      <x:c r="U6" s="3" t="str">
        <x:v>["S101", "S014"]</x:v>
      </x:c>
      <x:c r="V6" s="3" t="str">
        <x:v>["V001"]</x:v>
      </x:c>
      <x:c r="W6" s="3" t="str">
        <x:v>P0</x:v>
      </x:c>
      <x:c r="X6" s="3" t="str">
        <x:v>Не выдавать предложенную комбинацию и размеры за обследованный типичный объект</x:v>
      </x:c>
      <x:c r="Y6" s="3" t="str">
        <x:v>https://commons.wikimedia.org/wiki/File:New_Kyrlai_(2021-04-26)_01.jpg
https://historicalethnology.org/news/2024-t9-n2-10/</x:v>
      </x:c>
    </x:row>
    <x:row r="7" ht="96" customHeight="1">
      <x:c r="A7" s="3" t="str">
        <x:v>A006</x:v>
      </x:c>
      <x:c r="B7" s="3" t="str">
        <x:v>Уличный светильник</x:v>
      </x:c>
      <x:c r="C7" s="3" t="str"/>
      <x:c r="D7" s="3" t="str">
        <x:v>Инфраструктура</x:v>
      </x:c>
      <x:c r="E7" s="3" t="str">
        <x:v>Освещение конкретного участка</x:v>
      </x:c>
      <x:c r="F7" s="3" t="str">
        <x:v>Вымышленная деревня верховьев Ии, Арская модель</x:v>
      </x:c>
      <x:c r="G7" s="3" t="str">
        <x:v>2015 ±1, производственный ориентир</x:v>
      </x:c>
      <x:c r="H7" s="3" t="str">
        <x:v>Все</x:v>
      </x:c>
      <x:c r="I7" s="3" t="str">
        <x:v>Тип и дата замены отдельно проверяются</x:v>
      </x:c>
      <x:c r="J7" s="3" t="str">
        <x:v>См. dimensions.csv; иначе конкретный размер не установлен и назначается проектом</x:v>
      </x:c>
      <x:c r="K7" s="3" t="str">
        <x:v>Металл, стекло/полимер</x:v>
      </x:c>
      <x:c r="L7" s="3" t="str">
        <x:v>Тон назначать под освещение; не извлекать точный RGB из референса</x:v>
      </x:c>
      <x:c r="M7" s="3" t="str">
        <x:v>Тип и дата замены отдельно проверяются</x:v>
      </x:c>
      <x:c r="N7" s="3" t="str">
        <x:v>На части опор; не светит одинаково через все заборы</x:v>
      </x:c>
      <x:c r="O7" s="3" t="str">
        <x:v>Опора, крона</x:v>
      </x:c>
      <x:c r="P7" s="3" t="str">
        <x:v>Загрязнение оболочки; отказ только как отдельное событие</x:v>
      </x:c>
      <x:c r="Q7" s="3" t="str">
        <x:v>См. сезонный атлас и паспорт сцены</x:v>
      </x:c>
      <x:c r="R7" s="3" t="str">
        <x:v>Не назначать постоянный электрический треск</x:v>
      </x:c>
      <x:c r="S7" s="3" t="str">
        <x:v>Предложено для игры</x:v>
      </x:c>
      <x:c r="T7" s="3" t="str">
        <x:v>["C038"]</x:v>
      </x:c>
      <x:c r="U7" s="3" t="str">
        <x:v>["S014"]</x:v>
      </x:c>
      <x:c r="V7" s="3" t="str">
        <x:v>[]</x:v>
      </x:c>
      <x:c r="W7" s="3" t="str">
        <x:v>P1</x:v>
      </x:c>
      <x:c r="X7" s="3" t="str">
        <x:v>Не выдавать предложенную комбинацию и размеры за обследованный типичный объект</x:v>
      </x:c>
      <x:c r="Y7" s="3" t="str">
        <x:v>https://historicalethnology.org/news/2024-t9-n2-10/</x:v>
      </x:c>
    </x:row>
    <x:row r="8" ht="96" customHeight="1">
      <x:c r="A8" s="3" t="str">
        <x:v>A007</x:v>
      </x:c>
      <x:c r="B8" s="3" t="str">
        <x:v>Штакетный палисадный забор</x:v>
      </x:c>
      <x:c r="C8" s="3" t="str"/>
      <x:c r="D8" s="3" t="str">
        <x:v>Двор</x:v>
      </x:c>
      <x:c r="E8" s="3" t="str">
        <x:v>Отделяет посадки, оставляет просвет</x:v>
      </x:c>
      <x:c r="F8" s="3" t="str">
        <x:v>Вымышленная деревня верховьев Ии, Арская модель</x:v>
      </x:c>
      <x:c r="G8" s="3" t="str">
        <x:v>2015 ±1, производственный ориентир</x:v>
      </x:c>
      <x:c r="H8" s="3" t="str">
        <x:v>H01</x:v>
      </x:c>
      <x:c r="I8" s="3" t="str">
        <x:v>Ритм стоек, горизонтальные связи, верх досок согласованы</x:v>
      </x:c>
      <x:c r="J8" s="3" t="str">
        <x:v>См. dimensions.csv; иначе конкретный размер не установлен и назначается проектом</x:v>
      </x:c>
      <x:c r="K8" s="3" t="str">
        <x:v>Окрашенное дерево</x:v>
      </x:c>
      <x:c r="L8" s="3" t="str">
        <x:v>Тон назначать под освещение; не извлекать точный RGB из референса</x:v>
      </x:c>
      <x:c r="M8" s="3" t="str">
        <x:v>Ритм стоек, горизонтальные связи, верх досок согласованы</x:v>
      </x:c>
      <x:c r="N8" s="3" t="str">
        <x:v>Перед садом H01; не единственный тип на улице</x:v>
      </x:c>
      <x:c r="O8" s="3" t="str">
        <x:v>Калитка, цветник</x:v>
      </x:c>
      <x:c r="P8" s="3" t="str">
        <x:v>Нижние торцы темнее из-за влаги; верх быстрее выгорает</x:v>
      </x:c>
      <x:c r="Q8" s="3" t="str">
        <x:v>См. сезонный атлас и паспорт сцены</x:v>
      </x:c>
      <x:c r="R8" s="3" t="str">
        <x:v>Легкие удары досок при сильном ветре</x:v>
      </x:c>
      <x:c r="S8" s="3" t="str">
        <x:v>Предложено для игры</x:v>
      </x:c>
      <x:c r="T8" s="3" t="str">
        <x:v>["C038"]</x:v>
      </x:c>
      <x:c r="U8" s="3" t="str">
        <x:v>["S011", "S105"]</x:v>
      </x:c>
      <x:c r="V8" s="3" t="str">
        <x:v>["V005"]</x:v>
      </x:c>
      <x:c r="W8" s="3" t="str">
        <x:v>P1</x:v>
      </x:c>
      <x:c r="X8" s="3" t="str">
        <x:v>Не выдавать предложенную комбинацию и размеры за обследованный типичный объект</x:v>
      </x:c>
      <x:c r="Y8" s="3" t="str">
        <x:v>https://almet-history.tatneft.ru/istoriya/traditsionnaya-kultura/remesla-i-narodnoe-iskusstvo/d-k/zhilishche-narodnoe?lang=ru
https://commons.wikimedia.org/wiki/File:Sagdi-aby_house_(2021-04-26)_04.jpg</x:v>
      </x:c>
    </x:row>
    <x:row r="9" ht="96" customHeight="1">
      <x:c r="A9" s="3" t="str">
        <x:v>A008</x:v>
      </x:c>
      <x:c r="B9" s="3" t="str">
        <x:v>Секционное ограждение</x:v>
      </x:c>
      <x:c r="C9" s="3" t="str"/>
      <x:c r="D9" s="3" t="str">
        <x:v>Двор</x:v>
      </x:c>
      <x:c r="E9" s="3" t="str">
        <x:v>Разделение улицы и частного двора</x:v>
      </x:c>
      <x:c r="F9" s="3" t="str">
        <x:v>Вымышленная деревня верховьев Ии, Арская модель</x:v>
      </x:c>
      <x:c r="G9" s="3" t="str">
        <x:v>2015 ±1, производственный ориентир</x:v>
      </x:c>
      <x:c r="H9" s="3" t="str">
        <x:v>H02/сосед</x:v>
      </x:c>
      <x:c r="I9" s="3" t="str">
        <x:v>Рельефные секции, как наблюдаемый класс V001</x:v>
      </x:c>
      <x:c r="J9" s="3" t="str">
        <x:v>См. dimensions.csv; иначе конкретный размер не установлен и назначается проектом</x:v>
      </x:c>
      <x:c r="K9" s="3" t="str">
        <x:v>Предположительно формованный минеральный материал; точный состав не установлен</x:v>
      </x:c>
      <x:c r="L9" s="3" t="str">
        <x:v>Тон назначать под освещение; не извлекать точный RGB из референса</x:v>
      </x:c>
      <x:c r="M9" s="3" t="str">
        <x:v>Рельефные секции, как наблюдаемый класс V001</x:v>
      </x:c>
      <x:c r="N9" s="3" t="str">
        <x:v>На одном из модернизированных фронтов</x:v>
      </x:c>
      <x:c r="O9" s="3" t="str">
        <x:v>Металлическая калитка, кирпичная стойка</x:v>
      </x:c>
      <x:c r="P9" s="3" t="str">
        <x:v>Разная свежесть окраски панелей и швов</x:v>
      </x:c>
      <x:c r="Q9" s="3" t="str">
        <x:v>См. сезонный атлас и паспорт сцены</x:v>
      </x:c>
      <x:c r="R9" s="3" t="str">
        <x:v>Отражает звук иначе, чем открытый штакетник</x:v>
      </x:c>
      <x:c r="S9" s="3" t="str">
        <x:v>Предложено для игры</x:v>
      </x:c>
      <x:c r="T9" s="3" t="str">
        <x:v>["C038"]</x:v>
      </x:c>
      <x:c r="U9" s="3" t="str">
        <x:v>["S101"]</x:v>
      </x:c>
      <x:c r="V9" s="3" t="str">
        <x:v>["V001"]</x:v>
      </x:c>
      <x:c r="W9" s="3" t="str">
        <x:v>P0</x:v>
      </x:c>
      <x:c r="X9" s="3" t="str">
        <x:v>Не выдавать предложенную комбинацию и размеры за обследованный типичный объект</x:v>
      </x:c>
      <x:c r="Y9" s="3" t="str">
        <x:v>https://commons.wikimedia.org/wiki/File:New_Kyrlai_(2021-04-26)_01.jpg</x:v>
      </x:c>
    </x:row>
    <x:row r="10" ht="96" customHeight="1">
      <x:c r="A10" s="3" t="str">
        <x:v>A009</x:v>
      </x:c>
      <x:c r="B10" s="3" t="str">
        <x:v>Двустворчатые ворота</x:v>
      </x:c>
      <x:c r="C10" s="3" t="str"/>
      <x:c r="D10" s="3" t="str">
        <x:v>Двор</x:v>
      </x:c>
      <x:c r="E10" s="3" t="str">
        <x:v>Въезд машины и подвоз материалов</x:v>
      </x:c>
      <x:c r="F10" s="3" t="str">
        <x:v>Вымышленная деревня верховьев Ии, Арская модель</x:v>
      </x:c>
      <x:c r="G10" s="3" t="str">
        <x:v>2015 ±1, производственный ориентир</x:v>
      </x:c>
      <x:c r="H10" s="3" t="str">
        <x:v>H02</x:v>
      </x:c>
      <x:c r="I10" s="3" t="str">
        <x:v>Проект 3,5 м в свету; засов, петли, ограничитель</x:v>
      </x:c>
      <x:c r="J10" s="3" t="str">
        <x:v>См. dimensions.csv; иначе конкретный размер не установлен и назначается проектом</x:v>
      </x:c>
      <x:c r="K10" s="3" t="str">
        <x:v>Металлический каркас с дощатым либо листовым заполнением</x:v>
      </x:c>
      <x:c r="L10" s="3" t="str">
        <x:v>Тон назначать под освещение; не извлекать точный RGB из референса</x:v>
      </x:c>
      <x:c r="M10" s="3" t="str">
        <x:v>Проект 3,5 м в свету; засов, петли, ограничитель</x:v>
      </x:c>
      <x:c r="N10" s="3" t="str">
        <x:v>Совпадают с переездом и свободным проездом</x:v>
      </x:c>
      <x:c r="O10" s="3" t="str">
        <x:v>Калитка, въезд</x:v>
      </x:c>
      <x:c r="P10" s="3" t="str">
        <x:v>Лоск на засове; ржавчина у поврежденной краски, не вся плоскость</x:v>
      </x:c>
      <x:c r="Q10" s="3" t="str">
        <x:v>См. сезонный атлас и паспорт сцены</x:v>
      </x:c>
      <x:c r="R10" s="3" t="str">
        <x:v>Петли, резонанс полотна, удар ограничителя</x:v>
      </x:c>
      <x:c r="S10" s="3" t="str">
        <x:v>Предложено для игры</x:v>
      </x:c>
      <x:c r="T10" s="3" t="str">
        <x:v>["C038"]</x:v>
      </x:c>
      <x:c r="U10" s="3" t="str">
        <x:v>["S010", "S101"]</x:v>
      </x:c>
      <x:c r="V10" s="3" t="str">
        <x:v>["V001"]</x:v>
      </x:c>
      <x:c r="W10" s="3" t="str">
        <x:v>P0</x:v>
      </x:c>
      <x:c r="X10" s="3" t="str">
        <x:v>Не выдавать предложенную комбинацию и размеры за обследованный типичный объект</x:v>
      </x:c>
      <x:c r="Y10" s="3" t="str">
        <x:v>https://almet-history.tatneft.ru/istoriya/traditsionnaya-kultura/remesla-i-narodnoe-iskusstvo/d-k/ihata?lang=ru
https://commons.wikimedia.org/wiki/File:New_Kyrlai_(2021-04-26)_01.jpg</x:v>
      </x:c>
    </x:row>
    <x:row r="11" ht="96" customHeight="1">
      <x:c r="A11" s="3" t="str">
        <x:v>A010</x:v>
      </x:c>
      <x:c r="B11" s="3" t="str">
        <x:v>Калитка</x:v>
      </x:c>
      <x:c r="C11" s="3" t="str"/>
      <x:c r="D11" s="3" t="str">
        <x:v>Двор</x:v>
      </x:c>
      <x:c r="E11" s="3" t="str">
        <x:v>Пешеходный вход</x:v>
      </x:c>
      <x:c r="F11" s="3" t="str">
        <x:v>Вымышленная деревня верховьев Ии, Арская модель</x:v>
      </x:c>
      <x:c r="G11" s="3" t="str">
        <x:v>2015 ±1, производственный ориентир</x:v>
      </x:c>
      <x:c r="H11" s="3" t="str">
        <x:v>H02</x:v>
      </x:c>
      <x:c r="I11" s="3" t="str">
        <x:v>Проект 1 м в свету; реальная траектория открывания</x:v>
      </x:c>
      <x:c r="J11" s="3" t="str">
        <x:v>См. dimensions.csv; иначе конкретный размер не установлен и назначается проектом</x:v>
      </x:c>
      <x:c r="K11" s="3" t="str">
        <x:v>Металл/дерево по выбранному забору</x:v>
      </x:c>
      <x:c r="L11" s="3" t="str">
        <x:v>Тон назначать под освещение; не извлекать точный RGB из референса</x:v>
      </x:c>
      <x:c r="M11" s="3" t="str">
        <x:v>Проект 1 м в свету; реальная траектория открывания</x:v>
      </x:c>
      <x:c r="N11" s="3" t="str">
        <x:v>Слева от автомобильного створа H02</x:v>
      </x:c>
      <x:c r="O11" s="3" t="str">
        <x:v>Дорожка к сеням</x:v>
      </x:c>
      <x:c r="P11" s="3" t="str">
        <x:v>Протертая ручка, земля у порога</x:v>
      </x:c>
      <x:c r="Q11" s="3" t="str">
        <x:v>См. сезонный атлас и паспорт сцены</x:v>
      </x:c>
      <x:c r="R11" s="3" t="str">
        <x:v>Защелка + легкий резонанс, не звук гигантских ворот</x:v>
      </x:c>
      <x:c r="S11" s="3" t="str">
        <x:v>Предложено для игры</x:v>
      </x:c>
      <x:c r="T11" s="3" t="str">
        <x:v>["C038"]</x:v>
      </x:c>
      <x:c r="U11" s="3" t="str">
        <x:v>["S101"]</x:v>
      </x:c>
      <x:c r="V11" s="3" t="str">
        <x:v>["V001"]</x:v>
      </x:c>
      <x:c r="W11" s="3" t="str">
        <x:v>P0</x:v>
      </x:c>
      <x:c r="X11" s="3" t="str">
        <x:v>Не выдавать предложенную комбинацию и размеры за обследованный типичный объект</x:v>
      </x:c>
      <x:c r="Y11" s="3" t="str">
        <x:v>https://commons.wikimedia.org/wiki/File:New_Kyrlai_(2021-04-26)_01.jpg</x:v>
      </x:c>
    </x:row>
    <x:row r="12" ht="96" customHeight="1">
      <x:c r="A12" s="3" t="str">
        <x:v>A011</x:v>
      </x:c>
      <x:c r="B12" s="3" t="str">
        <x:v>Адресная табличка</x:v>
      </x:c>
      <x:c r="C12" s="3" t="str"/>
      <x:c r="D12" s="3" t="str">
        <x:v>Надписи</x:v>
      </x:c>
      <x:c r="E12" s="3" t="str">
        <x:v>Помогает найти дом</x:v>
      </x:c>
      <x:c r="F12" s="3" t="str">
        <x:v>Вымышленная деревня верховьев Ии, Арская модель</x:v>
      </x:c>
      <x:c r="G12" s="3" t="str">
        <x:v>2015 ±1, производственный ориентир</x:v>
      </x:c>
      <x:c r="H12" s="3" t="str">
        <x:v>Все</x:v>
      </x:c>
      <x:c r="I12" s="3" t="str">
        <x:v>Небольшая плоскость с читаемой кириллицей; точный макет проверить</x:v>
      </x:c>
      <x:c r="J12" s="3" t="str">
        <x:v>См. dimensions.csv; иначе конкретный размер не установлен и назначается проектом</x:v>
      </x:c>
      <x:c r="K12" s="3" t="str">
        <x:v>Окрашенный металл/пластик, проект</x:v>
      </x:c>
      <x:c r="L12" s="3" t="str">
        <x:v>Тон назначать под освещение; не извлекать точный RGB из референса</x:v>
      </x:c>
      <x:c r="M12" s="3" t="str">
        <x:v>Небольшая плоскость с читаемой кириллицей; точный макет проверить</x:v>
      </x:c>
      <x:c r="N12" s="3" t="str">
        <x:v>У пешеходного входа</x:v>
      </x:c>
      <x:c r="O12" s="3" t="str">
        <x:v>Стойка, фонарь</x:v>
      </x:c>
      <x:c r="P12" s="3" t="str">
        <x:v>Выгорание и крепежные следы</x:v>
      </x:c>
      <x:c r="Q12" s="3" t="str">
        <x:v>См. сезонный атлас и паспорт сцены</x:v>
      </x:c>
      <x:c r="R12" s="3" t="str">
        <x:v>Нет отдельного обязательного звука</x:v>
      </x:c>
      <x:c r="S12" s="3" t="str">
        <x:v>Предложено для игры</x:v>
      </x:c>
      <x:c r="T12" s="3" t="str">
        <x:v>["C038"]</x:v>
      </x:c>
      <x:c r="U12" s="3" t="str">
        <x:v>["S101"]</x:v>
      </x:c>
      <x:c r="V12" s="3" t="str">
        <x:v>["V001"]</x:v>
      </x:c>
      <x:c r="W12" s="3" t="str">
        <x:v>P1</x:v>
      </x:c>
      <x:c r="X12" s="3" t="str">
        <x:v>Не выдавать предложенную комбинацию и размеры за обследованный типичный объект</x:v>
      </x:c>
      <x:c r="Y12" s="3" t="str">
        <x:v>https://commons.wikimedia.org/wiki/File:New_Kyrlai_(2021-04-26)_01.jpg</x:v>
      </x:c>
    </x:row>
    <x:row r="13" ht="96" customHeight="1">
      <x:c r="A13" s="3" t="str">
        <x:v>A012</x:v>
      </x:c>
      <x:c r="B13" s="3" t="str">
        <x:v>Сруб с частичной обшивкой</x:v>
      </x:c>
      <x:c r="C13" s="3" t="str">
        <x:v>өй</x:v>
      </x:c>
      <x:c r="D13" s="3" t="str">
        <x:v>Дом</x:v>
      </x:c>
      <x:c r="E13" s="3" t="str">
        <x:v>Основной теплый объем</x:v>
      </x:c>
      <x:c r="F13" s="3" t="str">
        <x:v>Вымышленная деревня верховьев Ии, Арская модель</x:v>
      </x:c>
      <x:c r="G13" s="3" t="str">
        <x:v>2015 ±1, производственный ориентир</x:v>
      </x:c>
      <x:c r="H13" s="3" t="str">
        <x:v>H01/H02</x:v>
      </x:c>
      <x:c r="I13" s="3" t="str">
        <x:v>H01/H02; стыки обшивки объясняются ремонтом</x:v>
      </x:c>
      <x:c r="J13" s="3" t="str">
        <x:v>См. dimensions.csv; иначе конкретный размер не установлен и назначается проектом</x:v>
      </x:c>
      <x:c r="K13" s="3" t="str">
        <x:v>Дерево, доска; выбранная система цоколя</x:v>
      </x:c>
      <x:c r="L13" s="3" t="str">
        <x:v>Тон назначать под освещение; не извлекать точный RGB из референса</x:v>
      </x:c>
      <x:c r="M13" s="3" t="str">
        <x:v>H01/H02; стыки обшивки объясняются ремонтом</x:v>
      </x:c>
      <x:c r="N13" s="3" t="str">
        <x:v>Отступ от линии ограждения согласно плану</x:v>
      </x:c>
      <x:c r="O13" s="3" t="str">
        <x:v>Сени, окна, водосток</x:v>
      </x:c>
      <x:c r="P13" s="3" t="str">
        <x:v>Нижние венцы и торцы уязвимы иначе, чем защищенная плоскость</x:v>
      </x:c>
      <x:c r="Q13" s="3" t="str">
        <x:v>См. сезонный атлас и паспорт сцены</x:v>
      </x:c>
      <x:c r="R13" s="3" t="str">
        <x:v>Небольшие отдельные скрипы, не постоянное стенание</x:v>
      </x:c>
      <x:c r="S13" s="3" t="str">
        <x:v>Предложено для игры</x:v>
      </x:c>
      <x:c r="T13" s="3" t="str">
        <x:v>["C038"]</x:v>
      </x:c>
      <x:c r="U13" s="3" t="str">
        <x:v>["S011", "S105"]</x:v>
      </x:c>
      <x:c r="V13" s="3" t="str">
        <x:v>["V005"]</x:v>
      </x:c>
      <x:c r="W13" s="3" t="str">
        <x:v>P0</x:v>
      </x:c>
      <x:c r="X13" s="3" t="str">
        <x:v>Не выдавать предложенную комбинацию и размеры за обследованный типичный объект</x:v>
      </x:c>
      <x:c r="Y13" s="3" t="str">
        <x:v>https://almet-history.tatneft.ru/istoriya/traditsionnaya-kultura/remesla-i-narodnoe-iskusstvo/d-k/zhilishche-narodnoe?lang=ru
https://commons.wikimedia.org/wiki/File:Sagdi-aby_house_(2021-04-26)_04.jpg</x:v>
      </x:c>
    </x:row>
    <x:row r="14" ht="96" customHeight="1">
      <x:c r="A14" s="3" t="str">
        <x:v>A013</x:v>
      </x:c>
      <x:c r="B14" s="3" t="str">
        <x:v>Окно и обрамление</x:v>
      </x:c>
      <x:c r="C14" s="3" t="str"/>
      <x:c r="D14" s="3" t="str">
        <x:v>Дом</x:v>
      </x:c>
      <x:c r="E14" s="3" t="str">
        <x:v>Свет и проветривание соответствующей комнаты</x:v>
      </x:c>
      <x:c r="F14" s="3" t="str">
        <x:v>Вымышленная деревня верховьев Ии, Арская модель</x:v>
      </x:c>
      <x:c r="G14" s="3" t="str">
        <x:v>2015 ±1, производственный ориентир</x:v>
      </x:c>
      <x:c r="H14" s="3" t="str">
        <x:v>H02</x:v>
      </x:c>
      <x:c r="I14" s="3" t="str">
        <x:v>Три фронтальных окна H02; размер не измерен по фото</x:v>
      </x:c>
      <x:c r="J14" s="3" t="str">
        <x:v>См. dimensions.csv; иначе конкретный размер не установлен и назначается проектом</x:v>
      </x:c>
      <x:c r="K14" s="3" t="str">
        <x:v>Деревянный наличник; отдельно выбранная рама</x:v>
      </x:c>
      <x:c r="L14" s="3" t="str">
        <x:v>Тон назначать под освещение; не извлекать точный RGB из референса</x:v>
      </x:c>
      <x:c r="M14" s="3" t="str">
        <x:v>Три фронтальных окна H02; размер не измерен по фото</x:v>
      </x:c>
      <x:c r="N14" s="3" t="str">
        <x:v>Два окна жилой комнаты, одно кухни</x:v>
      </x:c>
      <x:c r="O14" s="3" t="str">
        <x:v>Тюль, отлив, наружная посадка</x:v>
      </x:c>
      <x:c r="P14" s="3" t="str">
        <x:v>Потеки под отливом, локальная перекраска стыка</x:v>
      </x:c>
      <x:c r="Q14" s="3" t="str">
        <x:v>См. сезонный атлас и паспорт сцены</x:v>
      </x:c>
      <x:c r="R14" s="3" t="str">
        <x:v>Открывание, уличный фон через щель</x:v>
      </x:c>
      <x:c r="S14" s="3" t="str">
        <x:v>Предложено для игры</x:v>
      </x:c>
      <x:c r="T14" s="3" t="str">
        <x:v>["C038"]</x:v>
      </x:c>
      <x:c r="U14" s="3" t="str">
        <x:v>["S007", "S105"]</x:v>
      </x:c>
      <x:c r="V14" s="3" t="str">
        <x:v>["V005"]</x:v>
      </x:c>
      <x:c r="W14" s="3" t="str">
        <x:v>P0</x:v>
      </x:c>
      <x:c r="X14" s="3" t="str">
        <x:v>Не выдавать предложенную комбинацию и размеры за обследованный типичный объект</x:v>
      </x:c>
      <x:c r="Y14" s="3" t="str">
        <x:v>https://kpfu.ru/portal/docs/F_715431455/4_02.pdf
https://commons.wikimedia.org/wiki/File:Sagdi-aby_house_(2021-04-26)_04.jpg</x:v>
      </x:c>
    </x:row>
    <x:row r="15" ht="96" customHeight="1">
      <x:c r="A15" s="3" t="str">
        <x:v>A014</x:v>
      </x:c>
      <x:c r="B15" s="3" t="str">
        <x:v>Карниз и фронтон</x:v>
      </x:c>
      <x:c r="C15" s="3" t="str"/>
      <x:c r="D15" s="3" t="str">
        <x:v>Дом</x:v>
      </x:c>
      <x:c r="E15" s="3" t="str">
        <x:v>Защищает стену; завершает объем</x:v>
      </x:c>
      <x:c r="F15" s="3" t="str">
        <x:v>Вымышленная деревня верховьев Ии, Арская модель</x:v>
      </x:c>
      <x:c r="G15" s="3" t="str">
        <x:v>2015 ±1, производственный ориентир</x:v>
      </x:c>
      <x:c r="H15" s="3" t="str">
        <x:v>H01/H02</x:v>
      </x:c>
      <x:c r="I15" s="3" t="str">
        <x:v>Отдельно скат, свес, лобовая и декоративная доски</x:v>
      </x:c>
      <x:c r="J15" s="3" t="str">
        <x:v>См. dimensions.csv; иначе конкретный размер не установлен и назначается проектом</x:v>
      </x:c>
      <x:c r="K15" s="3" t="str">
        <x:v>Дерево; крепеж</x:v>
      </x:c>
      <x:c r="L15" s="3" t="str">
        <x:v>Тон назначать под освещение; не извлекать точный RGB из референса</x:v>
      </x:c>
      <x:c r="M15" s="3" t="str">
        <x:v>Отдельно скат, свес, лобовая и декоративная доски</x:v>
      </x:c>
      <x:c r="N15" s="3" t="str">
        <x:v>Выше окон, не случайный орнамент на стене</x:v>
      </x:c>
      <x:c r="O15" s="3" t="str">
        <x:v>Кровля, водосток</x:v>
      </x:c>
      <x:c r="P15" s="3" t="str">
        <x:v>Защищенная под свесом часть менее выгоревшая</x:v>
      </x:c>
      <x:c r="Q15" s="3" t="str">
        <x:v>См. сезонный атлас и паспорт сцены</x:v>
      </x:c>
      <x:c r="R15" s="3" t="str">
        <x:v>Дождь на капельнике</x:v>
      </x:c>
      <x:c r="S15" s="3" t="str">
        <x:v>Предложено для игры</x:v>
      </x:c>
      <x:c r="T15" s="3" t="str">
        <x:v>["C038"]</x:v>
      </x:c>
      <x:c r="U15" s="3" t="str">
        <x:v>["S007", "S105"]</x:v>
      </x:c>
      <x:c r="V15" s="3" t="str">
        <x:v>["V005"]</x:v>
      </x:c>
      <x:c r="W15" s="3" t="str">
        <x:v>P1</x:v>
      </x:c>
      <x:c r="X15" s="3" t="str">
        <x:v>Не выдавать предложенную комбинацию и размеры за обследованный типичный объект</x:v>
      </x:c>
      <x:c r="Y15" s="3" t="str">
        <x:v>https://kpfu.ru/portal/docs/F_715431455/4_02.pdf
https://commons.wikimedia.org/wiki/File:Sagdi-aby_house_(2021-04-26)_04.jpg</x:v>
      </x:c>
    </x:row>
    <x:row r="16" ht="96" customHeight="1">
      <x:c r="A16" s="3" t="str">
        <x:v>A015</x:v>
      </x:c>
      <x:c r="B16" s="3" t="str">
        <x:v>Листовая кровля</x:v>
      </x:c>
      <x:c r="C16" s="3" t="str"/>
      <x:c r="D16" s="3" t="str">
        <x:v>Дом</x:v>
      </x:c>
      <x:c r="E16" s="3" t="str">
        <x:v>Защита дома от осадков</x:v>
      </x:c>
      <x:c r="F16" s="3" t="str">
        <x:v>Вымышленная деревня верховьев Ии, Арская модель</x:v>
      </x:c>
      <x:c r="G16" s="3" t="str">
        <x:v>2015 ±1, производственный ориентир</x:v>
      </x:c>
      <x:c r="H16" s="3" t="str">
        <x:v>H02</x:v>
      </x:c>
      <x:c r="I16" s="3" t="str">
        <x:v>Два основных ската; примыкания сеней решены отдельно</x:v>
      </x:c>
      <x:c r="J16" s="3" t="str">
        <x:v>См. dimensions.csv; иначе конкретный размер не установлен и назначается проектом</x:v>
      </x:c>
      <x:c r="K16" s="3" t="str">
        <x:v>Металлический лист, тип профиля как проект</x:v>
      </x:c>
      <x:c r="L16" s="3" t="str">
        <x:v>Тон назначать под освещение; не извлекать точный RGB из референса</x:v>
      </x:c>
      <x:c r="M16" s="3" t="str">
        <x:v>Два основных ската; примыкания сеней решены отдельно</x:v>
      </x:c>
      <x:c r="N16" s="3" t="str">
        <x:v>На доме H02</x:v>
      </x:c>
      <x:c r="O16" s="3" t="str">
        <x:v>Карниз, дымоход выбранного отопления</x:v>
      </x:c>
      <x:c r="P16" s="3" t="str">
        <x:v>Выцветание различается на скатах; грязь около ендовы/примыкания</x:v>
      </x:c>
      <x:c r="Q16" s="3" t="str">
        <x:v>См. сезонный атлас и паспорт сцены</x:v>
      </x:c>
      <x:c r="R16" s="3" t="str">
        <x:v>Дождь зависит от подкровельного слоя</x:v>
      </x:c>
      <x:c r="S16" s="3" t="str">
        <x:v>Предложено для игры</x:v>
      </x:c>
      <x:c r="T16" s="3" t="str">
        <x:v>["C038"]</x:v>
      </x:c>
      <x:c r="U16" s="3" t="str">
        <x:v>["S101", "S113"]</x:v>
      </x:c>
      <x:c r="V16" s="3" t="str">
        <x:v>["V001", "V013"]</x:v>
      </x:c>
      <x:c r="W16" s="3" t="str">
        <x:v>P0</x:v>
      </x:c>
      <x:c r="X16" s="3" t="str">
        <x:v>Не выдавать предложенную комбинацию и размеры за обследованный типичный объект</x:v>
      </x:c>
      <x:c r="Y16" s="3" t="str">
        <x:v>https://commons.wikimedia.org/wiki/File:New_Kyrlai_(2021-04-26)_01.jpg
https://commons.wikimedia.org/wiki/File:Sagdi-aby_house_(2021-04-26)_25.jpg</x:v>
      </x:c>
    </x:row>
    <x:row r="17" ht="96" customHeight="1">
      <x:c r="A17" s="3" t="str">
        <x:v>A016</x:v>
      </x:c>
      <x:c r="B17" s="3" t="str">
        <x:v>Сени</x:v>
      </x:c>
      <x:c r="C17" s="3" t="str">
        <x:v>өйалды</x:v>
      </x:c>
      <x:c r="D17" s="3" t="str">
        <x:v>Дом</x:v>
      </x:c>
      <x:c r="E17" s="3" t="str">
        <x:v>Переход улица/теплая часть, снятие обуви</x:v>
      </x:c>
      <x:c r="F17" s="3" t="str">
        <x:v>Вымышленная деревня верховьев Ии, Арская модель</x:v>
      </x:c>
      <x:c r="G17" s="3" t="str">
        <x:v>2015 ±1, производственный ориентир</x:v>
      </x:c>
      <x:c r="H17" s="3" t="str">
        <x:v>H01/H02</x:v>
      </x:c>
      <x:c r="I17" s="3" t="str">
        <x:v>H02: 3×4 м; вход с восточной стороны к связующей зоне</x:v>
      </x:c>
      <x:c r="J17" s="3" t="str">
        <x:v>См. dimensions.csv; иначе конкретный размер не установлен и назначается проектом</x:v>
      </x:c>
      <x:c r="K17" s="3" t="str">
        <x:v>Доска, выбранное остекление и настил</x:v>
      </x:c>
      <x:c r="L17" s="3" t="str">
        <x:v>Тон назначать под освещение; не извлекать точный RGB из референса</x:v>
      </x:c>
      <x:c r="M17" s="3" t="str">
        <x:v>H02: 3×4 м; вход с восточной стороны к связующей зоне</x:v>
      </x:c>
      <x:c r="N17" s="3" t="str">
        <x:v>Справа от основного корпуса, не перед кухонным окном</x:v>
      </x:c>
      <x:c r="O17" s="3" t="str">
        <x:v>Крючки, обувь, коврик</x:v>
      </x:c>
      <x:c r="P17" s="3" t="str">
        <x:v>Следы мокрой обуви у наружной двери, не у дальней стены</x:v>
      </x:c>
      <x:c r="Q17" s="3" t="str">
        <x:v>См. сезонный атлас и паспорт сцены</x:v>
      </x:c>
      <x:c r="R17" s="3" t="str">
        <x:v>Две разные двери разделяют акустику</x:v>
      </x:c>
      <x:c r="S17" s="3" t="str">
        <x:v>Предложено для игры</x:v>
      </x:c>
      <x:c r="T17" s="3" t="str">
        <x:v>["C038"]</x:v>
      </x:c>
      <x:c r="U17" s="3" t="str">
        <x:v>["S011", "S010"]</x:v>
      </x:c>
      <x:c r="V17" s="3" t="str">
        <x:v>[]</x:v>
      </x:c>
      <x:c r="W17" s="3" t="str">
        <x:v>P0</x:v>
      </x:c>
      <x:c r="X17" s="3" t="str">
        <x:v>Не выдавать предложенную комбинацию и размеры за обследованный типичный объект</x:v>
      </x:c>
      <x:c r="Y17" s="3" t="str">
        <x:v>https://almet-history.tatneft.ru/istoriya/traditsionnaya-kultura/remesla-i-narodnoe-iskusstvo/d-k/zhilishche-narodnoe?lang=ru
https://almet-history.tatneft.ru/istoriya/traditsionnaya-kultura/remesla-i-narodnoe-iskusstvo/d-k/ihata?lang=ru</x:v>
      </x:c>
    </x:row>
    <x:row r="18" ht="96" customHeight="1">
      <x:c r="A18" s="3" t="str">
        <x:v>A017</x:v>
      </x:c>
      <x:c r="B18" s="3" t="str">
        <x:v>Водосток и выпуск</x:v>
      </x:c>
      <x:c r="C18" s="3" t="str"/>
      <x:c r="D18" s="3" t="str">
        <x:v>Инфраструктура</x:v>
      </x:c>
      <x:c r="E18" s="3" t="str">
        <x:v>Отводит воду от входа</x:v>
      </x:c>
      <x:c r="F18" s="3" t="str">
        <x:v>Вымышленная деревня верховьев Ии, Арская модель</x:v>
      </x:c>
      <x:c r="G18" s="3" t="str">
        <x:v>2015 ±1, производственный ориентир</x:v>
      </x:c>
      <x:c r="H18" s="3" t="str">
        <x:v>H02</x:v>
      </x:c>
      <x:c r="I18" s="3" t="str">
        <x:v>Выпуск направлен к понижению, не на порог</x:v>
      </x:c>
      <x:c r="J18" s="3" t="str">
        <x:v>См. dimensions.csv; иначе конкретный размер не установлен и назначается проектом</x:v>
      </x:c>
      <x:c r="K18" s="3" t="str">
        <x:v>Металл/полимер по ремонту</x:v>
      </x:c>
      <x:c r="L18" s="3" t="str">
        <x:v>Тон назначать под освещение; не извлекать точный RGB из референса</x:v>
      </x:c>
      <x:c r="M18" s="3" t="str">
        <x:v>Выпуск направлен к понижению, не на порог</x:v>
      </x:c>
      <x:c r="N18" s="3" t="str">
        <x:v>На краю кровли</x:v>
      </x:c>
      <x:c r="O18" s="3" t="str">
        <x:v>Канава, отмостка</x:v>
      </x:c>
      <x:c r="P18" s="3" t="str">
        <x:v>Полоса воды и локальный размыв строго ниже выпуска</x:v>
      </x:c>
      <x:c r="Q18" s="3" t="str">
        <x:v>См. сезонный атлас и паспорт сцены</x:v>
      </x:c>
      <x:c r="R18" s="3" t="str">
        <x:v>Капли после дождя/таяния</x:v>
      </x:c>
      <x:c r="S18" s="3" t="str">
        <x:v>Предложено для игры</x:v>
      </x:c>
      <x:c r="T18" s="3" t="str">
        <x:v>["C038"]</x:v>
      </x:c>
      <x:c r="U18" s="3" t="str">
        <x:v>["S101", "S116"]</x:v>
      </x:c>
      <x:c r="V18" s="3" t="str">
        <x:v>["V001", "V016"]</x:v>
      </x:c>
      <x:c r="W18" s="3" t="str">
        <x:v>P0</x:v>
      </x:c>
      <x:c r="X18" s="3" t="str">
        <x:v>Не выдавать предложенную комбинацию и размеры за обследованный типичный объект</x:v>
      </x:c>
      <x:c r="Y18" s="3" t="str">
        <x:v>https://commons.wikimedia.org/wiki/File:New_Kyrlai_(2021-04-26)_01.jpg
https://commons.wikimedia.org/wiki/File:Gabdulla_Tukay_Museum,_New_Kyrlai_(2024-03-28)_01.jpg</x:v>
      </x:c>
    </x:row>
    <x:row r="19" ht="96" customHeight="1">
      <x:c r="A19" s="3" t="str">
        <x:v>A018</x:v>
      </x:c>
      <x:c r="B19" s="3" t="str">
        <x:v>Лавка для смены обуви</x:v>
      </x:c>
      <x:c r="C19" s="3" t="str"/>
      <x:c r="D19" s="3" t="str">
        <x:v>Интерьер</x:v>
      </x:c>
      <x:c r="E19" s="3" t="str">
        <x:v>Сесть, поставить сумку</x:v>
      </x:c>
      <x:c r="F19" s="3" t="str">
        <x:v>Вымышленная деревня верховьев Ии, Арская модель</x:v>
      </x:c>
      <x:c r="G19" s="3" t="str">
        <x:v>2015 ±1, производственный ориентир</x:v>
      </x:c>
      <x:c r="H19" s="3" t="str">
        <x:v>H01/H02</x:v>
      </x:c>
      <x:c r="I19" s="3" t="str">
        <x:v>Небольшая свободная поверхность, не витрина</x:v>
      </x:c>
      <x:c r="J19" s="3" t="str">
        <x:v>См. dimensions.csv; иначе конкретный размер не установлен и назначается проектом</x:v>
      </x:c>
      <x:c r="K19" s="3" t="str">
        <x:v>Дерево/серийная мебель</x:v>
      </x:c>
      <x:c r="L19" s="3" t="str">
        <x:v>Тон назначать под освещение; не извлекать точный RGB из референса</x:v>
      </x:c>
      <x:c r="M19" s="3" t="str">
        <x:v>Небольшая свободная поверхность, не витрина</x:v>
      </x:c>
      <x:c r="N19" s="3" t="str">
        <x:v>Сени у внутренней двери, не в ее дуге</x:v>
      </x:c>
      <x:c r="O19" s="3" t="str">
        <x:v>Коврик, обувь, верхняя одежда</x:v>
      </x:c>
      <x:c r="P19" s="3" t="str">
        <x:v>Лоск на сиденье; влажные следы снизу</x:v>
      </x:c>
      <x:c r="Q19" s="3" t="str">
        <x:v>См. сезонный атлас и паспорт сцены</x:v>
      </x:c>
      <x:c r="R19" s="3" t="str">
        <x:v>Скрип при посадке</x:v>
      </x:c>
      <x:c r="S19" s="3" t="str">
        <x:v>Предложено для игры</x:v>
      </x:c>
      <x:c r="T19" s="3" t="str">
        <x:v>["C038", "C032"]</x:v>
      </x:c>
      <x:c r="U19" s="3" t="str">
        <x:v>["S008"]</x:v>
      </x:c>
      <x:c r="V19" s="3" t="str">
        <x:v>[]</x:v>
      </x:c>
      <x:c r="W19" s="3" t="str">
        <x:v>P1</x:v>
      </x:c>
      <x:c r="X19" s="3" t="str">
        <x:v>Не выдавать предложенную комбинацию и размеры за обследованный типичный объект</x:v>
      </x:c>
      <x:c r="Y19" s="3" t="str">
        <x:v>https://cheloveknauka.com/interier-zhilischa-volgo-uralskih-tatar-razvitie-i-etnokulturnaya-spetsifika</x:v>
      </x:c>
    </x:row>
    <x:row r="20" ht="96" customHeight="1">
      <x:c r="A20" s="3" t="str">
        <x:v>A019</x:v>
      </x:c>
      <x:c r="B20" s="3" t="str">
        <x:v>Обувь и уличная одежда</x:v>
      </x:c>
      <x:c r="C20" s="3" t="str"/>
      <x:c r="D20" s="3" t="str">
        <x:v>Интерьер</x:v>
      </x:c>
      <x:c r="E20" s="3" t="str">
        <x:v>Отделяет грязную и чистую зоны</x:v>
      </x:c>
      <x:c r="F20" s="3" t="str">
        <x:v>Вымышленная деревня верховьев Ии, Арская модель</x:v>
      </x:c>
      <x:c r="G20" s="3" t="str">
        <x:v>2015 ±1, производственный ориентир</x:v>
      </x:c>
      <x:c r="H20" s="3" t="str">
        <x:v>Все</x:v>
      </x:c>
      <x:c r="I20" s="3" t="str">
        <x:v>Количество соответствует жильцам и гостям</x:v>
      </x:c>
      <x:c r="J20" s="3" t="str">
        <x:v>См. dimensions.csv; иначе конкретный размер не установлен и назначается проектом</x:v>
      </x:c>
      <x:c r="K20" s="3" t="str">
        <x:v>Резина, ткань, кожа/заменители как проект</x:v>
      </x:c>
      <x:c r="L20" s="3" t="str">
        <x:v>Тон назначать под освещение; не извлекать точный RGB из референса</x:v>
      </x:c>
      <x:c r="M20" s="3" t="str">
        <x:v>Количество соответствует жильцам и гостям</x:v>
      </x:c>
      <x:c r="N20" s="3" t="str">
        <x:v>У входа; сухое хранение выше пола</x:v>
      </x:c>
      <x:c r="O20" s="3" t="str">
        <x:v>Лавка, коврик</x:v>
      </x:c>
      <x:c r="P20" s="3" t="str">
        <x:v>Пыль летом; грязь/вода в переходный сезон</x:v>
      </x:c>
      <x:c r="Q20" s="3" t="str">
        <x:v>См. сезонный атлас и паспорт сцены</x:v>
      </x:c>
      <x:c r="R20" s="3" t="str">
        <x:v>Шорох ткани, удар подошвы</x:v>
      </x:c>
      <x:c r="S20" s="3" t="str">
        <x:v>Предложено для игры</x:v>
      </x:c>
      <x:c r="T20" s="3" t="str">
        <x:v>["C038", "C032"]</x:v>
      </x:c>
      <x:c r="U20" s="3" t="str">
        <x:v>["S014"]</x:v>
      </x:c>
      <x:c r="V20" s="3" t="str">
        <x:v>[]</x:v>
      </x:c>
      <x:c r="W20" s="3" t="str">
        <x:v>P0</x:v>
      </x:c>
      <x:c r="X20" s="3" t="str">
        <x:v>Не выдавать предложенную комбинацию и размеры за обследованный типичный объект</x:v>
      </x:c>
      <x:c r="Y20" s="3" t="str">
        <x:v>https://historicalethnology.org/news/2024-t9-n2-10/</x:v>
      </x:c>
    </x:row>
    <x:row r="21" ht="96" customHeight="1">
      <x:c r="A21" s="3" t="str">
        <x:v>A020</x:v>
      </x:c>
      <x:c r="B21" s="3" t="str">
        <x:v>Кухонная мойка</x:v>
      </x:c>
      <x:c r="C21" s="3" t="str"/>
      <x:c r="D21" s="3" t="str">
        <x:v>Интерьер</x:v>
      </x:c>
      <x:c r="E21" s="3" t="str">
        <x:v>Мытье посуды и продуктов</x:v>
      </x:c>
      <x:c r="F21" s="3" t="str">
        <x:v>Вымышленная деревня верховьев Ии, Арская модель</x:v>
      </x:c>
      <x:c r="G21" s="3" t="str">
        <x:v>2015 ±1, производственный ориентир</x:v>
      </x:c>
      <x:c r="H21" s="3" t="str">
        <x:v>H02</x:v>
      </x:c>
      <x:c r="I21" s="3" t="str">
        <x:v>Рядом с рабочей поверхностью; подвод/слив заданы</x:v>
      </x:c>
      <x:c r="J21" s="3" t="str">
        <x:v>См. dimensions.csv; иначе конкретный размер не установлен и назначается проектом</x:v>
      </x:c>
      <x:c r="K21" s="3" t="str">
        <x:v>Металл; выбранная столешница</x:v>
      </x:c>
      <x:c r="L21" s="3" t="str">
        <x:v>Тон назначать под освещение; не извлекать точный RGB из референса</x:v>
      </x:c>
      <x:c r="M21" s="3" t="str">
        <x:v>Рядом с рабочей поверхностью; подвод/слив заданы</x:v>
      </x:c>
      <x:c r="N21" s="3" t="str">
        <x:v>Кухня H02 у внешней стены</x:v>
      </x:c>
      <x:c r="O21" s="3" t="str">
        <x:v>Сушка, полотенце, мусорная емкость</x:v>
      </x:c>
      <x:c r="P21" s="3" t="str">
        <x:v>Капли и налет около смесителя, не одинаково на всех стенах</x:v>
      </x:c>
      <x:c r="Q21" s="3" t="str">
        <x:v>См. сезонный атлас и паспорт сцены</x:v>
      </x:c>
      <x:c r="R21" s="3" t="str">
        <x:v>Струя, посуда, слив только с рабочей водой</x:v>
      </x:c>
      <x:c r="S21" s="3" t="str">
        <x:v>Предложено для игры</x:v>
      </x:c>
      <x:c r="T21" s="3" t="str">
        <x:v>["C038", "C032"]</x:v>
      </x:c>
      <x:c r="U21" s="3" t="str">
        <x:v>[]</x:v>
      </x:c>
      <x:c r="V21" s="3" t="str">
        <x:v>[]</x:v>
      </x:c>
      <x:c r="W21" s="3" t="str">
        <x:v>P0</x:v>
      </x:c>
      <x:c r="X21" s="3" t="str">
        <x:v>Не выдавать предложенную комбинацию и размеры за обследованный типичный объект</x:v>
      </x:c>
      <x:c r="Y21" s="3" t="str"/>
    </x:row>
    <x:row r="22" ht="96" customHeight="1">
      <x:c r="A22" s="3" t="str">
        <x:v>A021</x:v>
      </x:c>
      <x:c r="B22" s="3" t="str">
        <x:v>Плита</x:v>
      </x:c>
      <x:c r="C22" s="3" t="str"/>
      <x:c r="D22" s="3" t="str">
        <x:v>Интерьер</x:v>
      </x:c>
      <x:c r="E22" s="3" t="str">
        <x:v>Приготовление еды</x:v>
      </x:c>
      <x:c r="F22" s="3" t="str">
        <x:v>Вымышленная деревня верховьев Ии, Арская модель</x:v>
      </x:c>
      <x:c r="G22" s="3" t="str">
        <x:v>2015 ±1, производственный ориентир</x:v>
      </x:c>
      <x:c r="H22" s="3" t="str">
        <x:v>H02</x:v>
      </x:c>
      <x:c r="I22" s="3" t="str">
        <x:v>С рабочим подходом; энергоснабжение выбрано явно</x:v>
      </x:c>
      <x:c r="J22" s="3" t="str">
        <x:v>См. dimensions.csv; иначе конкретный размер не установлен и назначается проектом</x:v>
      </x:c>
      <x:c r="K22" s="3" t="str">
        <x:v>Эмаль, металл</x:v>
      </x:c>
      <x:c r="L22" s="3" t="str">
        <x:v>Тон назначать под освещение; не извлекать точный RGB из референса</x:v>
      </x:c>
      <x:c r="M22" s="3" t="str">
        <x:v>С рабочим подходом; энергоснабжение выбрано явно</x:v>
      </x:c>
      <x:c r="N22" s="3" t="str">
        <x:v>Кухня H02, не вплотную к занавеси</x:v>
      </x:c>
      <x:c r="O22" s="3" t="str">
        <x:v>Кастрюля, прихватка, рабочая поверхность</x:v>
      </x:c>
      <x:c r="P22" s="3" t="str">
        <x:v>Следы нагрева и капли вокруг используемой конфорки</x:v>
      </x:c>
      <x:c r="Q22" s="3" t="str">
        <x:v>См. сезонный атлас и паспорт сцены</x:v>
      </x:c>
      <x:c r="R22" s="3" t="str">
        <x:v>Готовка и посуда; тип горелки требует выбора</x:v>
      </x:c>
      <x:c r="S22" s="3" t="str">
        <x:v>Предложено для игры</x:v>
      </x:c>
      <x:c r="T22" s="3" t="str">
        <x:v>["C038", "C032"]</x:v>
      </x:c>
      <x:c r="U22" s="3" t="str">
        <x:v>[]</x:v>
      </x:c>
      <x:c r="V22" s="3" t="str">
        <x:v>[]</x:v>
      </x:c>
      <x:c r="W22" s="3" t="str">
        <x:v>P0</x:v>
      </x:c>
      <x:c r="X22" s="3" t="str">
        <x:v>Не выдавать предложенную комбинацию и размеры за обследованный типичный объект</x:v>
      </x:c>
      <x:c r="Y22" s="3" t="str"/>
    </x:row>
    <x:row r="23" ht="96" customHeight="1">
      <x:c r="A23" s="3" t="str">
        <x:v>A022</x:v>
      </x:c>
      <x:c r="B23" s="3" t="str">
        <x:v>Холодильник</x:v>
      </x:c>
      <x:c r="C23" s="3" t="str"/>
      <x:c r="D23" s="3" t="str">
        <x:v>Интерьер</x:v>
      </x:c>
      <x:c r="E23" s="3" t="str">
        <x:v>Повседневное хранение продуктов</x:v>
      </x:c>
      <x:c r="F23" s="3" t="str">
        <x:v>Вымышленная деревня верховьев Ии, Арская модель</x:v>
      </x:c>
      <x:c r="G23" s="3" t="str">
        <x:v>2015 ±1, производственный ориентир</x:v>
      </x:c>
      <x:c r="H23" s="3" t="str">
        <x:v>H02</x:v>
      </x:c>
      <x:c r="I23" s="3" t="str">
        <x:v>Дверь открывается без конфликта с входом</x:v>
      </x:c>
      <x:c r="J23" s="3" t="str">
        <x:v>См. dimensions.csv; иначе конкретный размер не установлен и назначается проектом</x:v>
      </x:c>
      <x:c r="K23" s="3" t="str">
        <x:v>Металл/пластик; конкретную модель датировать отдельно</x:v>
      </x:c>
      <x:c r="L23" s="3" t="str">
        <x:v>Тон назначать под освещение; не извлекать точный RGB из референса</x:v>
      </x:c>
      <x:c r="M23" s="3" t="str">
        <x:v>Дверь открывается без конфликта с входом</x:v>
      </x:c>
      <x:c r="N23" s="3" t="str">
        <x:v>Кухня H02 вне горячего узла</x:v>
      </x:c>
      <x:c r="O23" s="3" t="str">
        <x:v>Столешница, розетка</x:v>
      </x:c>
      <x:c r="P23" s="3" t="str">
        <x:v>След от ручки; немного магнитов, не обязательная витрина</x:v>
      </x:c>
      <x:c r="Q23" s="3" t="str">
        <x:v>См. сезонный атлас и паспорт сцены</x:v>
      </x:c>
      <x:c r="R23" s="3" t="str">
        <x:v>Редкий цикл компрессора; не постоянный громкий гул</x:v>
      </x:c>
      <x:c r="S23" s="3" t="str">
        <x:v>Предложено для игры</x:v>
      </x:c>
      <x:c r="T23" s="3" t="str">
        <x:v>["C038", "C032"]</x:v>
      </x:c>
      <x:c r="U23" s="3" t="str">
        <x:v>["S013"]</x:v>
      </x:c>
      <x:c r="V23" s="3" t="str">
        <x:v>[]</x:v>
      </x:c>
      <x:c r="W23" s="3" t="str">
        <x:v>P0</x:v>
      </x:c>
      <x:c r="X23" s="3" t="str">
        <x:v>Не выдавать предложенную комбинацию и размеры за обследованный типичный объект</x:v>
      </x:c>
      <x:c r="Y23" s="3" t="str">
        <x:v>https://historicalethnology.org/news/2024-t9-n2-4/</x:v>
      </x:c>
    </x:row>
    <x:row r="24" ht="96" customHeight="1">
      <x:c r="A24" s="3" t="str">
        <x:v>A023</x:v>
      </x:c>
      <x:c r="B24" s="3" t="str">
        <x:v>Чайная группа</x:v>
      </x:c>
      <x:c r="C24" s="3" t="str"/>
      <x:c r="D24" s="3" t="str">
        <x:v>Интерьер</x:v>
      </x:c>
      <x:c r="E24" s="3" t="str">
        <x:v>Повседневное чаепитие</x:v>
      </x:c>
      <x:c r="F24" s="3" t="str">
        <x:v>Вымышленная деревня верховьев Ии, Арская модель</x:v>
      </x:c>
      <x:c r="G24" s="3" t="str">
        <x:v>2015 ±1, производственный ориентир</x:v>
      </x:c>
      <x:c r="H24" s="3" t="str">
        <x:v>H02</x:v>
      </x:c>
      <x:c r="I24" s="3" t="str">
        <x:v>Чашки/пиалы по числу людей; электрический чайник в H02</x:v>
      </x:c>
      <x:c r="J24" s="3" t="str">
        <x:v>См. dimensions.csv; иначе конкретный размер не установлен и назначается проектом</x:v>
      </x:c>
      <x:c r="K24" s="3" t="str">
        <x:v>Керамика, стекло, металл, пластик</x:v>
      </x:c>
      <x:c r="L24" s="3" t="str">
        <x:v>Тон назначать под освещение; не извлекать точный RGB из референса</x:v>
      </x:c>
      <x:c r="M24" s="3" t="str">
        <x:v>Чашки/пиалы по числу людей; электрический чайник в H02</x:v>
      </x:c>
      <x:c r="N24" s="3" t="str">
        <x:v>Рабочая поверхность и стол, не ровный музейный ряд</x:v>
      </x:c>
      <x:c r="O24" s="3" t="str">
        <x:v>Сахарница, чай, ложки, полотенце</x:v>
      </x:c>
      <x:c r="P24" s="3" t="str">
        <x:v>Кольца от чашек, обычная сушка; не вся посуда треснута</x:v>
      </x:c>
      <x:c r="Q24" s="3" t="str">
        <x:v>См. сезонный атлас и паспорт сцены</x:v>
      </x:c>
      <x:c r="R24" s="3" t="str">
        <x:v>Чашка о блюдце, ложка, налив</x:v>
      </x:c>
      <x:c r="S24" s="3" t="str">
        <x:v>Предложено для игры</x:v>
      </x:c>
      <x:c r="T24" s="3" t="str">
        <x:v>["C038", "C032"]</x:v>
      </x:c>
      <x:c r="U24" s="3" t="str">
        <x:v>["S012", "S104"]</x:v>
      </x:c>
      <x:c r="V24" s="3" t="str">
        <x:v>["V004"]</x:v>
      </x:c>
      <x:c r="W24" s="3" t="str">
        <x:v>P0</x:v>
      </x:c>
      <x:c r="X24" s="3" t="str">
        <x:v>Не выдавать предложенную комбинацию и размеры за обследованный типичный объект</x:v>
      </x:c>
      <x:c r="Y24" s="3" t="str">
        <x:v>https://almet-history.tatneft.ru/istoriya/traditsionnaya-kultura/remesla-i-narodnoe-iskusstvo/d-k/interer?lang=ru
https://commons.wikimedia.org/wiki/File:Sagdi-aby_house_interior_(2021-04-26)_21.jpg</x:v>
      </x:c>
    </x:row>
    <x:row r="25" ht="96" customHeight="1">
      <x:c r="A25" s="3" t="str">
        <x:v>A024</x:v>
      </x:c>
      <x:c r="B25" s="3" t="str">
        <x:v>Скатерть и клеенка</x:v>
      </x:c>
      <x:c r="C25" s="3" t="str"/>
      <x:c r="D25" s="3" t="str">
        <x:v>Интерьер</x:v>
      </x:c>
      <x:c r="E25" s="3" t="str">
        <x:v>Защита стола; разный режим будни/гости</x:v>
      </x:c>
      <x:c r="F25" s="3" t="str">
        <x:v>Вымышленная деревня верховьев Ии, Арская модель</x:v>
      </x:c>
      <x:c r="G25" s="3" t="str">
        <x:v>2015 ±1, производственный ориентир</x:v>
      </x:c>
      <x:c r="H25" s="3" t="str">
        <x:v>H01/H02</x:v>
      </x:c>
      <x:c r="I25" s="3" t="str">
        <x:v>Размер назначается по конкретному столу и свесу</x:v>
      </x:c>
      <x:c r="J25" s="3" t="str">
        <x:v>См. dimensions.csv; иначе конкретный размер не установлен и назначается проектом</x:v>
      </x:c>
      <x:c r="K25" s="3" t="str">
        <x:v>Ткань либо полимерное покрытие, не один материал</x:v>
      </x:c>
      <x:c r="L25" s="3" t="str">
        <x:v>Тон назначать под освещение; не извлекать точный RGB из референса</x:v>
      </x:c>
      <x:c r="M25" s="3" t="str">
        <x:v>Размер назначается по конкретному столу и свесу</x:v>
      </x:c>
      <x:c r="N25" s="3" t="str">
        <x:v>На столе, не на плите</x:v>
      </x:c>
      <x:c r="O25" s="3" t="str">
        <x:v>Чашки, стулья</x:v>
      </x:c>
      <x:c r="P25" s="3" t="str">
        <x:v>Замятость у сидящих; новая гостевая скатерть может быть чистой</x:v>
      </x:c>
      <x:c r="Q25" s="3" t="str">
        <x:v>См. сезонный атлас и паспорт сцены</x:v>
      </x:c>
      <x:c r="R25" s="3" t="str">
        <x:v>Трение ткани/клеенки различается</x:v>
      </x:c>
      <x:c r="S25" s="3" t="str">
        <x:v>Предложено для игры</x:v>
      </x:c>
      <x:c r="T25" s="3" t="str">
        <x:v>["C038", "C032"]</x:v>
      </x:c>
      <x:c r="U25" s="3" t="str">
        <x:v>["S012", "S104"]</x:v>
      </x:c>
      <x:c r="V25" s="3" t="str">
        <x:v>["V004"]</x:v>
      </x:c>
      <x:c r="W25" s="3" t="str">
        <x:v>P1</x:v>
      </x:c>
      <x:c r="X25" s="3" t="str">
        <x:v>Не выдавать предложенную комбинацию и размеры за обследованный типичный объект</x:v>
      </x:c>
      <x:c r="Y25" s="3" t="str">
        <x:v>https://almet-history.tatneft.ru/istoriya/traditsionnaya-kultura/remesla-i-narodnoe-iskusstvo/d-k/interer?lang=ru
https://commons.wikimedia.org/wiki/File:Sagdi-aby_house_interior_(2021-04-26)_21.jpg</x:v>
      </x:c>
    </x:row>
    <x:row r="26" ht="96" customHeight="1">
      <x:c r="A26" s="3" t="str">
        <x:v>A025</x:v>
      </x:c>
      <x:c r="B26" s="3" t="str">
        <x:v>Тюль и плотная занавеска</x:v>
      </x:c>
      <x:c r="C26" s="3" t="str"/>
      <x:c r="D26" s="3" t="str">
        <x:v>Интерьер</x:v>
      </x:c>
      <x:c r="E26" s="3" t="str">
        <x:v>Свет, приватность, изменение силуэта окна</x:v>
      </x:c>
      <x:c r="F26" s="3" t="str">
        <x:v>Вымышленная деревня верховьев Ии, Арская модель</x:v>
      </x:c>
      <x:c r="G26" s="3" t="str">
        <x:v>2015 ±1, производственный ориентир</x:v>
      </x:c>
      <x:c r="H26" s="3" t="str">
        <x:v>H02</x:v>
      </x:c>
      <x:c r="I26" s="3" t="str">
        <x:v>Два разных слоя по выбранному окну; окно открывается</x:v>
      </x:c>
      <x:c r="J26" s="3" t="str">
        <x:v>См. dimensions.csv; иначе конкретный размер не установлен и назначается проектом</x:v>
      </x:c>
      <x:c r="K26" s="3" t="str">
        <x:v>Волокно в референсе не установлено; игровая ткань назначается</x:v>
      </x:c>
      <x:c r="L26" s="3" t="str">
        <x:v>Тон назначать под освещение; не извлекать точный RGB из референса</x:v>
      </x:c>
      <x:c r="M26" s="3" t="str">
        <x:v>Два разных слоя по выбранному окну; окно открывается</x:v>
      </x:c>
      <x:c r="N26" s="3" t="str">
        <x:v>У окна, не перед дверью</x:v>
      </x:c>
      <x:c r="O26" s="3" t="str">
        <x:v>Карниз, подоконник, радиатор</x:v>
      </x:c>
      <x:c r="P26" s="3" t="str">
        <x:v>Пылевой след по низу; выгорание на освещенной стороне</x:v>
      </x:c>
      <x:c r="Q26" s="3" t="str">
        <x:v>См. сезонный атлас и паспорт сцены</x:v>
      </x:c>
      <x:c r="R26" s="3" t="str">
        <x:v>Легкий шорох только при движении воздуха</x:v>
      </x:c>
      <x:c r="S26" s="3" t="str">
        <x:v>Предложено для игры</x:v>
      </x:c>
      <x:c r="T26" s="3" t="str">
        <x:v>["C038", "C032"]</x:v>
      </x:c>
      <x:c r="U26" s="3" t="str">
        <x:v>["S012", "S103", "S104"]</x:v>
      </x:c>
      <x:c r="V26" s="3" t="str">
        <x:v>["V003", "V004"]</x:v>
      </x:c>
      <x:c r="W26" s="3" t="str">
        <x:v>P0</x:v>
      </x:c>
      <x:c r="X26" s="3" t="str">
        <x:v>Не выдавать предложенную комбинацию и размеры за обследованный типичный объект</x:v>
      </x:c>
      <x:c r="Y26" s="3" t="str">
        <x:v>https://almet-history.tatneft.ru/istoriya/traditsionnaya-kultura/remesla-i-narodnoe-iskusstvo/d-k/interer?lang=ru
https://commons.wikimedia.org/wiki/File:Sagdi-aby_house_interior_(2021-04-26)_05.jpg
https://commons.wikimedia.org/wiki/File:Sagdi-aby_house_interior_(2021-04-26)_21.jpg</x:v>
      </x:c>
    </x:row>
    <x:row r="27" ht="96" customHeight="1">
      <x:c r="A27" s="3" t="str">
        <x:v>A026</x:v>
      </x:c>
      <x:c r="B27" s="3" t="str">
        <x:v>Ковер и напольная дорожка</x:v>
      </x:c>
      <x:c r="C27" s="3" t="str"/>
      <x:c r="D27" s="3" t="str">
        <x:v>Интерьер</x:v>
      </x:c>
      <x:c r="E27" s="3" t="str">
        <x:v>Тепло/комфорт, наследованное убранство</x:v>
      </x:c>
      <x:c r="F27" s="3" t="str">
        <x:v>Вымышленная деревня верховьев Ии, Арская модель</x:v>
      </x:c>
      <x:c r="G27" s="3" t="str">
        <x:v>2015 ±1, производственный ориентир</x:v>
      </x:c>
      <x:c r="H27" s="3" t="str">
        <x:v>H01/H02</x:v>
      </x:c>
      <x:c r="I27" s="3" t="str">
        <x:v>Ковер не обязан занимать все стены; дорожка оставляет проход</x:v>
      </x:c>
      <x:c r="J27" s="3" t="str">
        <x:v>См. dimensions.csv; иначе конкретный размер не установлен и назначается проектом</x:v>
      </x:c>
      <x:c r="K27" s="3" t="str">
        <x:v>Фабричный ворс/тканая дорожка — два отдельных объекта</x:v>
      </x:c>
      <x:c r="L27" s="3" t="str">
        <x:v>Тон назначать под освещение; не извлекать точный RGB из референса</x:v>
      </x:c>
      <x:c r="M27" s="3" t="str">
        <x:v>Ковер не обязан занимать все стены; дорожка оставляет проход</x:v>
      </x:c>
      <x:c r="N27" s="3" t="str">
        <x:v>В жилой комнате и сухом проходе</x:v>
      </x:c>
      <x:c r="O27" s="3" t="str">
        <x:v>Диван, шкаф</x:v>
      </x:c>
      <x:c r="P27" s="3" t="str">
        <x:v>Износ по пути, вмятины под ножками; не одинаковый износ ковра на стене</x:v>
      </x:c>
      <x:c r="Q27" s="3" t="str">
        <x:v>См. сезонный атлас и паспорт сцены</x:v>
      </x:c>
      <x:c r="R27" s="3" t="str">
        <x:v>Приглушает шаги как производственная настройка</x:v>
      </x:c>
      <x:c r="S27" s="3" t="str">
        <x:v>Предложено для игры</x:v>
      </x:c>
      <x:c r="T27" s="3" t="str">
        <x:v>["C038", "C032"]</x:v>
      </x:c>
      <x:c r="U27" s="3" t="str">
        <x:v>["S008", "S013"]</x:v>
      </x:c>
      <x:c r="V27" s="3" t="str">
        <x:v>[]</x:v>
      </x:c>
      <x:c r="W27" s="3" t="str">
        <x:v>P1</x:v>
      </x:c>
      <x:c r="X27" s="3" t="str">
        <x:v>Не выдавать предложенную комбинацию и размеры за обследованный типичный объект</x:v>
      </x:c>
      <x:c r="Y27" s="3" t="str">
        <x:v>https://cheloveknauka.com/interier-zhilischa-volgo-uralskih-tatar-razvitie-i-etnokulturnaya-spetsifika
https://historicalethnology.org/news/2024-t9-n2-4/</x:v>
      </x:c>
    </x:row>
    <x:row r="28" ht="96" customHeight="1">
      <x:c r="A28" s="3" t="str">
        <x:v>A027</x:v>
      </x:c>
      <x:c r="B28" s="3" t="str">
        <x:v>Подушки и сложенное белье</x:v>
      </x:c>
      <x:c r="C28" s="3" t="str"/>
      <x:c r="D28" s="3" t="str">
        <x:v>Интерьер</x:v>
      </x:c>
      <x:c r="E28" s="3" t="str">
        <x:v>Хранение спального текстиля</x:v>
      </x:c>
      <x:c r="F28" s="3" t="str">
        <x:v>Вымышленная деревня верховьев Ии, Арская модель</x:v>
      </x:c>
      <x:c r="G28" s="3" t="str">
        <x:v>2015 ±1, производственный ориентир</x:v>
      </x:c>
      <x:c r="H28" s="3" t="str">
        <x:v>H01</x:v>
      </x:c>
      <x:c r="I28" s="3" t="str">
        <x:v>Компактная стопка; музейное V003 как один принцип, не полный образец</x:v>
      </x:c>
      <x:c r="J28" s="3" t="str">
        <x:v>См. dimensions.csv; иначе конкретный размер не установлен и назначается проектом</x:v>
      </x:c>
      <x:c r="K28" s="3" t="str">
        <x:v>Волокна не установлены; игровая ткань задана отдельно</x:v>
      </x:c>
      <x:c r="L28" s="3" t="str">
        <x:v>Тон назначать под освещение; не извлекать точный RGB из референса</x:v>
      </x:c>
      <x:c r="M28" s="3" t="str">
        <x:v>Компактная стопка; музейное V003 как один принцип, не полный образец</x:v>
      </x:c>
      <x:c r="N28" s="3" t="str">
        <x:v>В шкафу/на отведенной поверхности, не на кухонной плите</x:v>
      </x:c>
      <x:c r="O28" s="3" t="str">
        <x:v>Покрывало, сундук только при выбранной биографии</x:v>
      </x:c>
      <x:c r="P28" s="3" t="str">
        <x:v>Свежий сгиб и заломы, не обязательная ветхость</x:v>
      </x:c>
      <x:c r="Q28" s="3" t="str">
        <x:v>См. сезонный атлас и паспорт сцены</x:v>
      </x:c>
      <x:c r="R28" s="3" t="str">
        <x:v>Ткань при перекладывании</x:v>
      </x:c>
      <x:c r="S28" s="3" t="str">
        <x:v>Предложено для игры</x:v>
      </x:c>
      <x:c r="T28" s="3" t="str">
        <x:v>["C038", "C032"]</x:v>
      </x:c>
      <x:c r="U28" s="3" t="str">
        <x:v>["S012", "S103"]</x:v>
      </x:c>
      <x:c r="V28" s="3" t="str">
        <x:v>["V003"]</x:v>
      </x:c>
      <x:c r="W28" s="3" t="str">
        <x:v>P1</x:v>
      </x:c>
      <x:c r="X28" s="3" t="str">
        <x:v>Не выдавать предложенную комбинацию и размеры за обследованный типичный объект</x:v>
      </x:c>
      <x:c r="Y28" s="3" t="str">
        <x:v>https://almet-history.tatneft.ru/istoriya/traditsionnaya-kultura/remesla-i-narodnoe-iskusstvo/d-k/interer?lang=ru
https://commons.wikimedia.org/wiki/File:Sagdi-aby_house_interior_(2021-04-26)_05.jpg</x:v>
      </x:c>
    </x:row>
    <x:row r="29" ht="96" customHeight="1">
      <x:c r="A29" s="3" t="str">
        <x:v>A028</x:v>
      </x:c>
      <x:c r="B29" s="3" t="str">
        <x:v>Сервант и семейная посуда</x:v>
      </x:c>
      <x:c r="C29" s="3" t="str"/>
      <x:c r="D29" s="3" t="str">
        <x:v>Интерьер</x:v>
      </x:c>
      <x:c r="E29" s="3" t="str">
        <x:v>Хранение, семейная память</x:v>
      </x:c>
      <x:c r="F29" s="3" t="str">
        <x:v>Вымышленная деревня верховьев Ии, Арская модель</x:v>
      </x:c>
      <x:c r="G29" s="3" t="str">
        <x:v>2015 ±1, производственный ориентир</x:v>
      </x:c>
      <x:c r="H29" s="3" t="str">
        <x:v>H01/H02</x:v>
      </x:c>
      <x:c r="I29" s="3" t="str">
        <x:v>Серийная мебель позднего XX в.; часть полок бытовая</x:v>
      </x:c>
      <x:c r="J29" s="3" t="str">
        <x:v>См. dimensions.csv; иначе конкретный размер не установлен и назначается проектом</x:v>
      </x:c>
      <x:c r="K29" s="3" t="str">
        <x:v>Дерево/шпон/плита, стекло</x:v>
      </x:c>
      <x:c r="L29" s="3" t="str">
        <x:v>Тон назначать под освещение; не извлекать точный RGB из референса</x:v>
      </x:c>
      <x:c r="M29" s="3" t="str">
        <x:v>Серийная мебель позднего XX в.; часть полок бытовая</x:v>
      </x:c>
      <x:c r="N29" s="3" t="str">
        <x:v>Жилая комната вдоль глухой стены</x:v>
      </x:c>
      <x:c r="O29" s="3" t="str">
        <x:v>Посуда, фотографии, документы в закрытой секции</x:v>
      </x:c>
      <x:c r="P29" s="3" t="str">
        <x:v>Лоск ручки, неравномерное выгорание фасада</x:v>
      </x:c>
      <x:c r="Q29" s="3" t="str">
        <x:v>См. сезонный атлас и паспорт сцены</x:v>
      </x:c>
      <x:c r="R29" s="3" t="str">
        <x:v>Стеклянная дверца и посуда</x:v>
      </x:c>
      <x:c r="S29" s="3" t="str">
        <x:v>Предложено для игры</x:v>
      </x:c>
      <x:c r="T29" s="3" t="str">
        <x:v>["C038", "C032"]</x:v>
      </x:c>
      <x:c r="U29" s="3" t="str">
        <x:v>["S008", "S013"]</x:v>
      </x:c>
      <x:c r="V29" s="3" t="str">
        <x:v>[]</x:v>
      </x:c>
      <x:c r="W29" s="3" t="str">
        <x:v>P1</x:v>
      </x:c>
      <x:c r="X29" s="3" t="str">
        <x:v>Не выдавать предложенную комбинацию и размеры за обследованный типичный объект</x:v>
      </x:c>
      <x:c r="Y29" s="3" t="str">
        <x:v>https://cheloveknauka.com/interier-zhilischa-volgo-uralskih-tatar-razvitie-i-etnokulturnaya-spetsifika
https://historicalethnology.org/news/2024-t9-n2-4/</x:v>
      </x:c>
    </x:row>
    <x:row r="30" ht="96" customHeight="1">
      <x:c r="A30" s="3" t="str">
        <x:v>A029</x:v>
      </x:c>
      <x:c r="B30" s="3" t="str">
        <x:v>Диван и дополнительное спальное место</x:v>
      </x:c>
      <x:c r="C30" s="3" t="str"/>
      <x:c r="D30" s="3" t="str">
        <x:v>Интерьер</x:v>
      </x:c>
      <x:c r="E30" s="3" t="str">
        <x:v>Сидение; ночевка гостя</x:v>
      </x:c>
      <x:c r="F30" s="3" t="str">
        <x:v>Вымышленная деревня верховьев Ии, Арская модель</x:v>
      </x:c>
      <x:c r="G30" s="3" t="str">
        <x:v>2015 ±1, производственный ориентир</x:v>
      </x:c>
      <x:c r="H30" s="3" t="str">
        <x:v>H02</x:v>
      </x:c>
      <x:c r="I30" s="3" t="str">
        <x:v>Разложенное положение проверяется по свободной площади</x:v>
      </x:c>
      <x:c r="J30" s="3" t="str">
        <x:v>См. dimensions.csv; иначе конкретный размер не установлен и назначается проектом</x:v>
      </x:c>
      <x:c r="K30" s="3" t="str">
        <x:v>Ткань, каркас</x:v>
      </x:c>
      <x:c r="L30" s="3" t="str">
        <x:v>Тон назначать под освещение; не извлекать точный RGB из референса</x:v>
      </x:c>
      <x:c r="M30" s="3" t="str">
        <x:v>Разложенное положение проверяется по свободной площади</x:v>
      </x:c>
      <x:c r="N30" s="3" t="str">
        <x:v>Жилая комната, не перед обязательным проходом</x:v>
      </x:c>
      <x:c r="O30" s="3" t="str">
        <x:v>Стол, телевизор</x:v>
      </x:c>
      <x:c r="P30" s="3" t="str">
        <x:v>Проседание на любимом месте, ткань у подлокотника</x:v>
      </x:c>
      <x:c r="Q30" s="3" t="str">
        <x:v>См. сезонный атлас и паспорт сцены</x:v>
      </x:c>
      <x:c r="R30" s="3" t="str">
        <x:v>Скрип при нагрузке, движение ткани</x:v>
      </x:c>
      <x:c r="S30" s="3" t="str">
        <x:v>Предложено для игры</x:v>
      </x:c>
      <x:c r="T30" s="3" t="str">
        <x:v>["C038", "C032"]</x:v>
      </x:c>
      <x:c r="U30" s="3" t="str">
        <x:v>["S008"]</x:v>
      </x:c>
      <x:c r="V30" s="3" t="str">
        <x:v>[]</x:v>
      </x:c>
      <x:c r="W30" s="3" t="str">
        <x:v>P0</x:v>
      </x:c>
      <x:c r="X30" s="3" t="str">
        <x:v>Не выдавать предложенную комбинацию и размеры за обследованный типичный объект</x:v>
      </x:c>
      <x:c r="Y30" s="3" t="str">
        <x:v>https://cheloveknauka.com/interier-zhilischa-volgo-uralskih-tatar-razvitie-i-etnokulturnaya-spetsifika</x:v>
      </x:c>
    </x:row>
    <x:row r="31" ht="96" customHeight="1">
      <x:c r="A31" s="3" t="str">
        <x:v>A030</x:v>
      </x:c>
      <x:c r="B31" s="3" t="str">
        <x:v>Телевизор с выбранным приемом</x:v>
      </x:c>
      <x:c r="C31" s="3" t="str"/>
      <x:c r="D31" s="3" t="str">
        <x:v>Интерьер</x:v>
      </x:c>
      <x:c r="E31" s="3" t="str">
        <x:v>Вечерние новости, программы, фильмы</x:v>
      </x:c>
      <x:c r="F31" s="3" t="str">
        <x:v>Вымышленная деревня верховьев Ии, Арская модель</x:v>
      </x:c>
      <x:c r="G31" s="3" t="str">
        <x:v>2015 ±1, производственный ориентир</x:v>
      </x:c>
      <x:c r="H31" s="3" t="str">
        <x:v>H02</x:v>
      </x:c>
      <x:c r="I31" s="3" t="str">
        <x:v>Экран и приемник одной эпохи; не интерфейс 2026 в 2015</x:v>
      </x:c>
      <x:c r="J31" s="3" t="str">
        <x:v>См. dimensions.csv; иначе конкретный размер не установлен и назначается проектом</x:v>
      </x:c>
      <x:c r="K31" s="3" t="str">
        <x:v>Пластик, стекло</x:v>
      </x:c>
      <x:c r="L31" s="3" t="str">
        <x:v>Тон назначать под освещение; не извлекать точный RGB из референса</x:v>
      </x:c>
      <x:c r="M31" s="3" t="str">
        <x:v>Экран и приемник одной эпохи; не интерфейс 2026 в 2015</x:v>
      </x:c>
      <x:c r="N31" s="3" t="str">
        <x:v>Жилая комната: виден с дивана, не заслоняет дверь</x:v>
      </x:c>
      <x:c r="O31" s="3" t="str">
        <x:v>Пульт, розетка, провод приема</x:v>
      </x:c>
      <x:c r="P31" s="3" t="str">
        <x:v>Следы рук на пульте, пыль сверху</x:v>
      </x:c>
      <x:c r="Q31" s="3" t="str">
        <x:v>См. сезонный атлас и паспорт сцены</x:v>
      </x:c>
      <x:c r="R31" s="3" t="str">
        <x:v>Оригинальный лицензированный/созданный эфир; не постоянная народная песня</x:v>
      </x:c>
      <x:c r="S31" s="3" t="str">
        <x:v>Предложено для игры</x:v>
      </x:c>
      <x:c r="T31" s="3" t="str">
        <x:v>["C038", "C032"]</x:v>
      </x:c>
      <x:c r="U31" s="3" t="str">
        <x:v>["S036"]</x:v>
      </x:c>
      <x:c r="V31" s="3" t="str">
        <x:v>[]</x:v>
      </x:c>
      <x:c r="W31" s="3" t="str">
        <x:v>P0</x:v>
      </x:c>
      <x:c r="X31" s="3" t="str">
        <x:v>Не выдавать предложенную комбинацию и размеры за обследованный типичный объект</x:v>
      </x:c>
      <x:c r="Y31" s="3" t="str">
        <x:v>https://tnv.ru/about/</x:v>
      </x:c>
    </x:row>
    <x:row r="32" ht="96" customHeight="1">
      <x:c r="A32" s="3" t="str">
        <x:v>A031</x:v>
      </x:c>
      <x:c r="B32" s="3" t="str">
        <x:v>Кнопочный телефон / смартфон</x:v>
      </x:c>
      <x:c r="C32" s="3" t="str"/>
      <x:c r="D32" s="3" t="str">
        <x:v>Интерьер</x:v>
      </x:c>
      <x:c r="E32" s="3" t="str">
        <x:v>Связь; выбор поколения устройства</x:v>
      </x:c>
      <x:c r="F32" s="3" t="str">
        <x:v>Вымышленная деревня верховьев Ии, Арская модель</x:v>
      </x:c>
      <x:c r="G32" s="3" t="str">
        <x:v>2015 ±1, производственный ориентир</x:v>
      </x:c>
      <x:c r="H32" s="3" t="str">
        <x:v>Все</x:v>
      </x:c>
      <x:c r="I32" s="3" t="str">
        <x:v>Конкретная модель не установлена; проверка года обязательна</x:v>
      </x:c>
      <x:c r="J32" s="3" t="str">
        <x:v>См. dimensions.csv; иначе конкретный размер не установлен и назначается проектом</x:v>
      </x:c>
      <x:c r="K32" s="3" t="str">
        <x:v>Пластик/стекло</x:v>
      </x:c>
      <x:c r="L32" s="3" t="str">
        <x:v>Тон назначать под освещение; не извлекать точный RGB из референса</x:v>
      </x:c>
      <x:c r="M32" s="3" t="str">
        <x:v>Конкретная модель не установлена; проверка года обязательна</x:v>
      </x:c>
      <x:c r="N32" s="3" t="str">
        <x:v>Полка/стол у зарядки, не на каждом свободном месте</x:v>
      </x:c>
      <x:c r="O32" s="3" t="str">
        <x:v>Зарядное устройство, записная книжка</x:v>
      </x:c>
      <x:c r="P32" s="3" t="str">
        <x:v>Затертые кнопки либо экран; по пользованию хозяина</x:v>
      </x:c>
      <x:c r="Q32" s="3" t="str">
        <x:v>См. сезонный атлас и паспорт сцены</x:v>
      </x:c>
      <x:c r="R32" s="3" t="str">
        <x:v>Звонок/вибрация только оригинальные или разрешенные</x:v>
      </x:c>
      <x:c r="S32" s="3" t="str">
        <x:v>Предложено для игры</x:v>
      </x:c>
      <x:c r="T32" s="3" t="str">
        <x:v>["C038", "C032"]</x:v>
      </x:c>
      <x:c r="U32" s="3" t="str">
        <x:v>[]</x:v>
      </x:c>
      <x:c r="V32" s="3" t="str">
        <x:v>[]</x:v>
      </x:c>
      <x:c r="W32" s="3" t="str">
        <x:v>P1</x:v>
      </x:c>
      <x:c r="X32" s="3" t="str">
        <x:v>Не выдавать предложенную комбинацию и размеры за обследованный типичный объект</x:v>
      </x:c>
      <x:c r="Y32" s="3" t="str"/>
    </x:row>
    <x:row r="33" ht="96" customHeight="1">
      <x:c r="A33" s="3" t="str">
        <x:v>A032</x:v>
      </x:c>
      <x:c r="B33" s="3" t="str">
        <x:v>Семейные фотографии и альбом</x:v>
      </x:c>
      <x:c r="C33" s="3" t="str"/>
      <x:c r="D33" s="3" t="str">
        <x:v>Интерьер</x:v>
      </x:c>
      <x:c r="E33" s="3" t="str">
        <x:v>Память, гости, разговор</x:v>
      </x:c>
      <x:c r="F33" s="3" t="str">
        <x:v>Вымышленная деревня верховьев Ии, Арская модель</x:v>
      </x:c>
      <x:c r="G33" s="3" t="str">
        <x:v>2015 ±1, производственный ориентир</x:v>
      </x:c>
      <x:c r="H33" s="3" t="str">
        <x:v>H01/H02</x:v>
      </x:c>
      <x:c r="I33" s="3" t="str">
        <x:v>Разные форматы старых и новых фото; лица вымышленные</x:v>
      </x:c>
      <x:c r="J33" s="3" t="str">
        <x:v>См. dimensions.csv; иначе конкретный размер не установлен и назначается проектом</x:v>
      </x:c>
      <x:c r="K33" s="3" t="str">
        <x:v>Фотобумага, рамка, альбом</x:v>
      </x:c>
      <x:c r="L33" s="3" t="str">
        <x:v>Тон назначать под освещение; не извлекать точный RGB из референса</x:v>
      </x:c>
      <x:c r="M33" s="3" t="str">
        <x:v>Разные форматы старых и новых фото; лица вымышленные</x:v>
      </x:c>
      <x:c r="N33" s="3" t="str">
        <x:v>Полка/стена вне зоны брызг</x:v>
      </x:c>
      <x:c r="O33" s="3" t="str">
        <x:v>Сервант, книги</x:v>
      </x:c>
      <x:c r="P33" s="3" t="str">
        <x:v>Выгоревшее фото у света; альбом сохраннее внутри</x:v>
      </x:c>
      <x:c r="Q33" s="3" t="str">
        <x:v>См. сезонный атлас и паспорт сцены</x:v>
      </x:c>
      <x:c r="R33" s="3" t="str">
        <x:v>Листы и обложка</x:v>
      </x:c>
      <x:c r="S33" s="3" t="str">
        <x:v>Предложено для игры</x:v>
      </x:c>
      <x:c r="T33" s="3" t="str">
        <x:v>["C038", "C032"]</x:v>
      </x:c>
      <x:c r="U33" s="3" t="str">
        <x:v>["S013"]</x:v>
      </x:c>
      <x:c r="V33" s="3" t="str">
        <x:v>[]</x:v>
      </x:c>
      <x:c r="W33" s="3" t="str">
        <x:v>P1</x:v>
      </x:c>
      <x:c r="X33" s="3" t="str">
        <x:v>Не выдавать предложенную комбинацию и размеры за обследованный типичный объект</x:v>
      </x:c>
      <x:c r="Y33" s="3" t="str">
        <x:v>https://historicalethnology.org/news/2024-t9-n2-4/</x:v>
      </x:c>
    </x:row>
    <x:row r="34" ht="96" customHeight="1">
      <x:c r="A34" s="3" t="str">
        <x:v>A033</x:v>
      </x:c>
      <x:c r="B34" s="3" t="str">
        <x:v>Шамаиль — условный объект до экспертизы</x:v>
      </x:c>
      <x:c r="C34" s="3" t="str">
        <x:v>шамаиль</x:v>
      </x:c>
      <x:c r="D34" s="3" t="str">
        <x:v>Интерьер</x:v>
      </x:c>
      <x:c r="E34" s="3" t="str">
        <x:v>Религиозно-культурное убранство конкретной семьи</x:v>
      </x:c>
      <x:c r="F34" s="3" t="str">
        <x:v>Вымышленная деревня верховьев Ии, Арская модель</x:v>
      </x:c>
      <x:c r="G34" s="3" t="str">
        <x:v>2015 ±1, производственный ориентир</x:v>
      </x:c>
      <x:c r="H34" s="3" t="str">
        <x:v>H01/отдельная семья</x:v>
      </x:c>
      <x:c r="I34" s="3" t="str">
        <x:v>Текст и композиция не выбраны; не заполнять псевдоарабикой</x:v>
      </x:c>
      <x:c r="J34" s="3" t="str">
        <x:v>См. dimensions.csv; иначе конкретный размер не установлен и назначается проектом</x:v>
      </x:c>
      <x:c r="K34" s="3" t="str">
        <x:v>По выбранному музейному паспорту, пока не установлено</x:v>
      </x:c>
      <x:c r="L34" s="3" t="str">
        <x:v>Тон назначать под освещение; не извлекать точный RGB из референса</x:v>
      </x:c>
      <x:c r="M34" s="3" t="str">
        <x:v>Текст и композиция не выбраны; не заполнять псевдоарабикой</x:v>
      </x:c>
      <x:c r="N34" s="3" t="str">
        <x:v>Уважительное место конкретной семьи; не переносить красный угол автоматически</x:v>
      </x:c>
      <x:c r="O34" s="3" t="str">
        <x:v>Другие предметы по биографии семьи</x:v>
      </x:c>
      <x:c r="P34" s="3" t="str">
        <x:v>Не делать мистических кровавых надписей частью обычного быта</x:v>
      </x:c>
      <x:c r="Q34" s="3" t="str">
        <x:v>См. сезонный атлас и паспорт сцены</x:v>
      </x:c>
      <x:c r="R34" s="3" t="str">
        <x:v>Не источник постоянного звука</x:v>
      </x:c>
      <x:c r="S34" s="3" t="str">
        <x:v>Предложено для игры</x:v>
      </x:c>
      <x:c r="T34" s="3" t="str">
        <x:v>["C038", "C032"]</x:v>
      </x:c>
      <x:c r="U34" s="3" t="str">
        <x:v>["S008", "S012"]</x:v>
      </x:c>
      <x:c r="V34" s="3" t="str">
        <x:v>[]</x:v>
      </x:c>
      <x:c r="W34" s="3" t="str">
        <x:v>P2</x:v>
      </x:c>
      <x:c r="X34" s="3" t="str">
        <x:v>Не выдавать предложенную комбинацию и размеры за обследованный типичный объект</x:v>
      </x:c>
      <x:c r="Y34" s="3" t="str">
        <x:v>https://cheloveknauka.com/interier-zhilischa-volgo-uralskih-tatar-razvitie-i-etnokulturnaya-spetsifika
https://almet-history.tatneft.ru/istoriya/traditsionnaya-kultura/remesla-i-narodnoe-iskusstvo/d-k/interer?lang=ru</x:v>
      </x:c>
    </x:row>
    <x:row r="35" ht="96" customHeight="1">
      <x:c r="A35" s="3" t="str">
        <x:v>A034</x:v>
      </x:c>
      <x:c r="B35" s="3" t="str">
        <x:v>Книги, тетради, документы</x:v>
      </x:c>
      <x:c r="C35" s="3" t="str"/>
      <x:c r="D35" s="3" t="str">
        <x:v>Интерьер</x:v>
      </x:c>
      <x:c r="E35" s="3" t="str">
        <x:v>Учеба, хозяйственные записи, семейные бумаги</x:v>
      </x:c>
      <x:c r="F35" s="3" t="str">
        <x:v>Вымышленная деревня верховьев Ии, Арская модель</x:v>
      </x:c>
      <x:c r="G35" s="3" t="str">
        <x:v>2015 ±1, производственный ориентир</x:v>
      </x:c>
      <x:c r="H35" s="3" t="str">
        <x:v>H02</x:v>
      </x:c>
      <x:c r="I35" s="3" t="str">
        <x:v>Папка закрыта; детские тетради соответствуют возрасту</x:v>
      </x:c>
      <x:c r="J35" s="3" t="str">
        <x:v>См. dimensions.csv; иначе конкретный размер не установлен и назначается проектом</x:v>
      </x:c>
      <x:c r="K35" s="3" t="str">
        <x:v>Бумага, картон</x:v>
      </x:c>
      <x:c r="L35" s="3" t="str">
        <x:v>Тон назначать под освещение; не извлекать точный RGB из референса</x:v>
      </x:c>
      <x:c r="M35" s="3" t="str">
        <x:v>Папка закрыта; детские тетради соответствуют возрасту</x:v>
      </x:c>
      <x:c r="N35" s="3" t="str">
        <x:v>Рабочее место/шкаф, не случайно весь пол</x:v>
      </x:c>
      <x:c r="O35" s="3" t="str">
        <x:v>Ручки, телефон, календарь</x:v>
      </x:c>
      <x:c r="P35" s="3" t="str">
        <x:v>Сгибы используемых страниц; старые документы не гниют автоматически</x:v>
      </x:c>
      <x:c r="Q35" s="3" t="str">
        <x:v>См. сезонный атлас и паспорт сцены</x:v>
      </x:c>
      <x:c r="R35" s="3" t="str">
        <x:v>Листание, письмо</x:v>
      </x:c>
      <x:c r="S35" s="3" t="str">
        <x:v>Предложено для игры</x:v>
      </x:c>
      <x:c r="T35" s="3" t="str">
        <x:v>["C038", "C032"]</x:v>
      </x:c>
      <x:c r="U35" s="3" t="str">
        <x:v>["S013"]</x:v>
      </x:c>
      <x:c r="V35" s="3" t="str">
        <x:v>[]</x:v>
      </x:c>
      <x:c r="W35" s="3" t="str">
        <x:v>P1</x:v>
      </x:c>
      <x:c r="X35" s="3" t="str">
        <x:v>Не выдавать предложенную комбинацию и размеры за обследованный типичный объект</x:v>
      </x:c>
      <x:c r="Y35" s="3" t="str">
        <x:v>https://historicalethnology.org/news/2024-t9-n2-4/</x:v>
      </x:c>
    </x:row>
    <x:row r="36" ht="96" customHeight="1">
      <x:c r="A36" s="3" t="str">
        <x:v>A035</x:v>
      </x:c>
      <x:c r="B36" s="3" t="str">
        <x:v>Стиральная машина</x:v>
      </x:c>
      <x:c r="C36" s="3" t="str"/>
      <x:c r="D36" s="3" t="str">
        <x:v>Интерьер</x:v>
      </x:c>
      <x:c r="E36" s="3" t="str">
        <x:v>Стирка</x:v>
      </x:c>
      <x:c r="F36" s="3" t="str">
        <x:v>Вымышленная деревня верховьев Ии, Арская модель</x:v>
      </x:c>
      <x:c r="G36" s="3" t="str">
        <x:v>2015 ±1, производственный ориентир</x:v>
      </x:c>
      <x:c r="H36" s="3" t="str">
        <x:v>H02</x:v>
      </x:c>
      <x:c r="I36" s="3" t="str">
        <x:v>Доступ к загрузке; шланги и отвод не исчезают</x:v>
      </x:c>
      <x:c r="J36" s="3" t="str">
        <x:v>См. dimensions.csv; иначе конкретный размер не установлен и назначается проектом</x:v>
      </x:c>
      <x:c r="K36" s="3" t="str">
        <x:v>Металл, пластик</x:v>
      </x:c>
      <x:c r="L36" s="3" t="str">
        <x:v>Тон назначать под освещение; не извлекать точный RGB из референса</x:v>
      </x:c>
      <x:c r="M36" s="3" t="str">
        <x:v>Доступ к загрузке; шланги и отвод не исчезают</x:v>
      </x:c>
      <x:c r="N36" s="3" t="str">
        <x:v>Санитарная зона H02, не историческая экспозиция</x:v>
      </x:c>
      <x:c r="O36" s="3" t="str">
        <x:v>Корзина, моющее средство, вода</x:v>
      </x:c>
      <x:c r="P36" s="3" t="str">
        <x:v>Капли и потертости у загрузки; не обязательная ржавчина</x:v>
      </x:c>
      <x:c r="Q36" s="3" t="str">
        <x:v>См. сезонный атлас и паспорт сцены</x:v>
      </x:c>
      <x:c r="R36" s="3" t="str">
        <x:v>Циклы отдельно от постоянного фона</x:v>
      </x:c>
      <x:c r="S36" s="3" t="str">
        <x:v>Предложено для игры</x:v>
      </x:c>
      <x:c r="T36" s="3" t="str">
        <x:v>["C038", "C032"]</x:v>
      </x:c>
      <x:c r="U36" s="3" t="str">
        <x:v>[]</x:v>
      </x:c>
      <x:c r="V36" s="3" t="str">
        <x:v>[]</x:v>
      </x:c>
      <x:c r="W36" s="3" t="str">
        <x:v>P1</x:v>
      </x:c>
      <x:c r="X36" s="3" t="str">
        <x:v>Не выдавать предложенную комбинацию и размеры за обследованный типичный объект</x:v>
      </x:c>
      <x:c r="Y36" s="3" t="str"/>
    </x:row>
    <x:row r="37" ht="96" customHeight="1">
      <x:c r="A37" s="3" t="str">
        <x:v>A036</x:v>
      </x:c>
      <x:c r="B37" s="3" t="str">
        <x:v>Радиатор и тепловой узел</x:v>
      </x:c>
      <x:c r="C37" s="3" t="str"/>
      <x:c r="D37" s="3" t="str">
        <x:v>Интерьер</x:v>
      </x:c>
      <x:c r="E37" s="3" t="str">
        <x:v>Отопление современного выбранного дома</x:v>
      </x:c>
      <x:c r="F37" s="3" t="str">
        <x:v>Вымышленная деревня верховьев Ии, Арская модель</x:v>
      </x:c>
      <x:c r="G37" s="3" t="str">
        <x:v>2015 ±1, производственный ориентир</x:v>
      </x:c>
      <x:c r="H37" s="3" t="str">
        <x:v>H02</x:v>
      </x:c>
      <x:c r="I37" s="3" t="str">
        <x:v>Источник тепла и отопительные приборы согласованы</x:v>
      </x:c>
      <x:c r="J37" s="3" t="str">
        <x:v>См. dimensions.csv; иначе конкретный размер не установлен и назначается проектом</x:v>
      </x:c>
      <x:c r="K37" s="3" t="str">
        <x:v>Металл, трубы</x:v>
      </x:c>
      <x:c r="L37" s="3" t="str">
        <x:v>Тон назначать под освещение; не извлекать точный RGB из референса</x:v>
      </x:c>
      <x:c r="M37" s="3" t="str">
        <x:v>Источник тепла и отопительные приборы согласованы</x:v>
      </x:c>
      <x:c r="N37" s="3" t="str">
        <x:v>Радиаторы не перекрывают открывание дверей; техзона сзади</x:v>
      </x:c>
      <x:c r="O37" s="3" t="str">
        <x:v>Окна, вентиляция</x:v>
      </x:c>
      <x:c r="P37" s="3" t="str">
        <x:v>Локальные следы ремонта; не дымящаяся батарея</x:v>
      </x:c>
      <x:c r="Q37" s="3" t="str">
        <x:v>См. сезонный атлас и паспорт сцены</x:v>
      </x:c>
      <x:c r="R37" s="3" t="str">
        <x:v>Слабые события системы; точный звук требует записи</x:v>
      </x:c>
      <x:c r="S37" s="3" t="str">
        <x:v>Предложено для игры</x:v>
      </x:c>
      <x:c r="T37" s="3" t="str">
        <x:v>["C038", "C032"]</x:v>
      </x:c>
      <x:c r="U37" s="3" t="str">
        <x:v>[]</x:v>
      </x:c>
      <x:c r="V37" s="3" t="str">
        <x:v>[]</x:v>
      </x:c>
      <x:c r="W37" s="3" t="str">
        <x:v>P0</x:v>
      </x:c>
      <x:c r="X37" s="3" t="str">
        <x:v>Не выдавать предложенную комбинацию и размеры за обследованный типичный объект</x:v>
      </x:c>
      <x:c r="Y37" s="3" t="str"/>
    </x:row>
    <x:row r="38" ht="96" customHeight="1">
      <x:c r="A38" s="3" t="str">
        <x:v>A037</x:v>
      </x:c>
      <x:c r="B38" s="3" t="str">
        <x:v>Сохраненная печь</x:v>
      </x:c>
      <x:c r="C38" s="3" t="str"/>
      <x:c r="D38" s="3" t="str">
        <x:v>Интерьер</x:v>
      </x:c>
      <x:c r="E38" s="3" t="str">
        <x:v>Отопление и/или готовка в выбранном H01</x:v>
      </x:c>
      <x:c r="F38" s="3" t="str">
        <x:v>Вымышленная деревня верховьев Ии, Арская модель</x:v>
      </x:c>
      <x:c r="G38" s="3" t="str">
        <x:v>2015 ±1, производственный ориентир</x:v>
      </x:c>
      <x:c r="H38" s="3" t="str">
        <x:v>H01</x:v>
      </x:c>
      <x:c r="I38" s="3" t="str">
        <x:v>Объем не копируется без проверки каналов и доступа</x:v>
      </x:c>
      <x:c r="J38" s="3" t="str">
        <x:v>См. dimensions.csv; иначе конкретный размер не установлен и назначается проектом</x:v>
      </x:c>
      <x:c r="K38" s="3" t="str">
        <x:v>Кирпич, штукатурка/побелка, металл</x:v>
      </x:c>
      <x:c r="L38" s="3" t="str">
        <x:v>Тон назначать под освещение; не извлекать точный RGB из референса</x:v>
      </x:c>
      <x:c r="M38" s="3" t="str">
        <x:v>Объем не копируется без проверки каналов и доступа</x:v>
      </x:c>
      <x:c r="N38" s="3" t="str">
        <x:v>H01: согласованное место у входной хозяйственной зоны</x:v>
      </x:c>
      <x:c r="O38" s="3" t="str">
        <x:v>Дрова в ограниченном количестве, инструменты</x:v>
      </x:c>
      <x:c r="P38" s="3" t="str">
        <x:v>Копоть у используемых отверстий, сколы в местах касания</x:v>
      </x:c>
      <x:c r="Q38" s="3" t="str">
        <x:v>См. сезонный атлас и паспорт сцены</x:v>
      </x:c>
      <x:c r="R38" s="3" t="str">
        <x:v>Огонь только при топке; охлаждение отдельно</x:v>
      </x:c>
      <x:c r="S38" s="3" t="str">
        <x:v>Предложено для игры</x:v>
      </x:c>
      <x:c r="T38" s="3" t="str">
        <x:v>["C038", "C032"]</x:v>
      </x:c>
      <x:c r="U38" s="3" t="str">
        <x:v>["S011", "S106", "S109"]</x:v>
      </x:c>
      <x:c r="V38" s="3" t="str">
        <x:v>["V006", "V009"]</x:v>
      </x:c>
      <x:c r="W38" s="3" t="str">
        <x:v>P0</x:v>
      </x:c>
      <x:c r="X38" s="3" t="str">
        <x:v>Не выдавать предложенную комбинацию и размеры за обследованный типичный объект</x:v>
      </x:c>
      <x:c r="Y38" s="3" t="str">
        <x:v>https://almet-history.tatneft.ru/istoriya/traditsionnaya-kultura/remesla-i-narodnoe-iskusstvo/d-k/zhilishche-narodnoe?lang=ru
https://commons.wikimedia.org/wiki/File:Sagdi-aby_house_interior_(2021-04-26)_07.jpg
https://commons.wikimedia.org/wiki/File:Sagdi-aby_house_interior_(2021-04-26)_16.jpg</x:v>
      </x:c>
    </x:row>
    <x:row r="39" ht="96" customHeight="1">
      <x:c r="A39" s="3" t="str">
        <x:v>A038</x:v>
      </x:c>
      <x:c r="B39" s="3" t="str">
        <x:v>Баня</x:v>
      </x:c>
      <x:c r="C39" s="3" t="str"/>
      <x:c r="D39" s="3" t="str">
        <x:v>Хозяйство</x:v>
      </x:c>
      <x:c r="E39" s="3" t="str">
        <x:v>Мытье; отдельный режим пользования</x:v>
      </x:c>
      <x:c r="F39" s="3" t="str">
        <x:v>Вымышленная деревня верховьев Ии, Арская модель</x:v>
      </x:c>
      <x:c r="G39" s="3" t="str">
        <x:v>2015 ±1, производственный ориентир</x:v>
      </x:c>
      <x:c r="H39" s="3" t="str">
        <x:v>H01/H02/H03</x:v>
      </x:c>
      <x:c r="I39" s="3" t="str">
        <x:v>H02: проект 4×5 м; предбанник отделяет влажный объем</x:v>
      </x:c>
      <x:c r="J39" s="3" t="str">
        <x:v>См. dimensions.csv; иначе конкретный размер не установлен и назначается проектом</x:v>
      </x:c>
      <x:c r="K39" s="3" t="str">
        <x:v>Дерево; выбранная печь, кровля</x:v>
      </x:c>
      <x:c r="L39" s="3" t="str">
        <x:v>Тон назначать под освещение; не извлекать точный RGB из референса</x:v>
      </x:c>
      <x:c r="M39" s="3" t="str">
        <x:v>H02: проект 4×5 м; предбанник отделяет влажный объем</x:v>
      </x:c>
      <x:c r="N39" s="3" t="str">
        <x:v>В глубине двора; доступ из чистого прохода</x:v>
      </x:c>
      <x:c r="O39" s="3" t="str">
        <x:v>Дровник, вода, место сушки</x:v>
      </x:c>
      <x:c r="P39" s="3" t="str">
        <x:v>Влажность и потемнение в мокрой зоне, не во всем дворе</x:v>
      </x:c>
      <x:c r="Q39" s="3" t="str">
        <x:v>См. сезонный атлас и паспорт сцены</x:v>
      </x:c>
      <x:c r="R39" s="3" t="str">
        <x:v>Ведро, вода, дверь; огонь только в нужный момент</x:v>
      </x:c>
      <x:c r="S39" s="3" t="str">
        <x:v>Предложено для игры</x:v>
      </x:c>
      <x:c r="T39" s="3" t="str">
        <x:v>["C038"]</x:v>
      </x:c>
      <x:c r="U39" s="3" t="str">
        <x:v>["S010"]</x:v>
      </x:c>
      <x:c r="V39" s="3" t="str">
        <x:v>[]</x:v>
      </x:c>
      <x:c r="W39" s="3" t="str">
        <x:v>P1</x:v>
      </x:c>
      <x:c r="X39" s="3" t="str">
        <x:v>Не выдавать предложенную комбинацию и размеры за обследованный типичный объект</x:v>
      </x:c>
      <x:c r="Y39" s="3" t="str">
        <x:v>https://almet-history.tatneft.ru/istoriya/traditsionnaya-kultura/remesla-i-narodnoe-iskusstvo/d-k/ihata?lang=ru</x:v>
      </x:c>
    </x:row>
    <x:row r="40" ht="96" customHeight="1">
      <x:c r="A40" s="3" t="str">
        <x:v>A039</x:v>
      </x:c>
      <x:c r="B40" s="3" t="str">
        <x:v>Сарай и кормовая зона</x:v>
      </x:c>
      <x:c r="C40" s="3" t="str"/>
      <x:c r="D40" s="3" t="str">
        <x:v>Хозяйство</x:v>
      </x:c>
      <x:c r="E40" s="3" t="str">
        <x:v>Инвентарь или скот — функция выбирается явно</x:v>
      </x:c>
      <x:c r="F40" s="3" t="str">
        <x:v>Вымышленная деревня верховьев Ии, Арская модель</x:v>
      </x:c>
      <x:c r="G40" s="3" t="str">
        <x:v>2015 ±1, производственный ориентир</x:v>
      </x:c>
      <x:c r="H40" s="3" t="str">
        <x:v>H02/H03</x:v>
      </x:c>
      <x:c r="I40" s="3" t="str">
        <x:v>В H02 7×8 м проект; H03 активное животноводство отдельно</x:v>
      </x:c>
      <x:c r="J40" s="3" t="str">
        <x:v>См. dimensions.csv; иначе конкретный размер не установлен и назначается проектом</x:v>
      </x:c>
      <x:c r="K40" s="3" t="str">
        <x:v>Доска/сруб; местный ремонт</x:v>
      </x:c>
      <x:c r="L40" s="3" t="str">
        <x:v>Тон назначать под освещение; не извлекать точный RGB из референса</x:v>
      </x:c>
      <x:c r="M40" s="3" t="str">
        <x:v>В H02 7×8 м проект; H03 активное животноводство отдельно</x:v>
      </x:c>
      <x:c r="N40" s="3" t="str">
        <x:v>Глубина двора; ворота обращены к проезду</x:v>
      </x:c>
      <x:c r="O40" s="3" t="str">
        <x:v>Корм/подстилка только в H03, тележка</x:v>
      </x:c>
      <x:c r="P40" s="3" t="str">
        <x:v>Ударные следы на косяках, грязь по пути</x:v>
      </x:c>
      <x:c r="Q40" s="3" t="str">
        <x:v>См. сезонный атлас и паспорт сцены</x:v>
      </x:c>
      <x:c r="R40" s="3" t="str">
        <x:v>Дверь, инструменты; животные только при выбранной функции</x:v>
      </x:c>
      <x:c r="S40" s="3" t="str">
        <x:v>Предложено для игры</x:v>
      </x:c>
      <x:c r="T40" s="3" t="str">
        <x:v>["C038"]</x:v>
      </x:c>
      <x:c r="U40" s="3" t="str">
        <x:v>["S010", "S011"]</x:v>
      </x:c>
      <x:c r="V40" s="3" t="str">
        <x:v>[]</x:v>
      </x:c>
      <x:c r="W40" s="3" t="str">
        <x:v>P0</x:v>
      </x:c>
      <x:c r="X40" s="3" t="str">
        <x:v>Не выдавать предложенную комбинацию и размеры за обследованный типичный объект</x:v>
      </x:c>
      <x:c r="Y40" s="3" t="str">
        <x:v>https://almet-history.tatneft.ru/istoriya/traditsionnaya-kultura/remesla-i-narodnoe-iskusstvo/d-k/ihata?lang=ru
https://almet-history.tatneft.ru/istoriya/traditsionnaya-kultura/remesla-i-narodnoe-iskusstvo/d-k/zhilishche-narodnoe?lang=ru</x:v>
      </x:c>
    </x:row>
    <x:row r="41" ht="96" customHeight="1">
      <x:c r="A41" s="3" t="str">
        <x:v>A040</x:v>
      </x:c>
      <x:c r="B41" s="3" t="str">
        <x:v>Дровник</x:v>
      </x:c>
      <x:c r="C41" s="3" t="str"/>
      <x:c r="D41" s="3" t="str">
        <x:v>Хозяйство</x:v>
      </x:c>
      <x:c r="E41" s="3" t="str">
        <x:v>Сухое хранение топлива</x:v>
      </x:c>
      <x:c r="F41" s="3" t="str">
        <x:v>Вымышленная деревня верховьев Ии, Арская модель</x:v>
      </x:c>
      <x:c r="G41" s="3" t="str">
        <x:v>2015 ±1, производственный ориентир</x:v>
      </x:c>
      <x:c r="H41" s="3" t="str">
        <x:v>H01/H02</x:v>
      </x:c>
      <x:c r="I41" s="3" t="str">
        <x:v>Навес и проветриваемая укладка</x:v>
      </x:c>
      <x:c r="J41" s="3" t="str">
        <x:v>См. dimensions.csv; иначе конкретный размер не установлен и назначается проектом</x:v>
      </x:c>
      <x:c r="K41" s="3" t="str">
        <x:v>Дерево, выбранная кровля</x:v>
      </x:c>
      <x:c r="L41" s="3" t="str">
        <x:v>Тон назначать под освещение; не извлекать точный RGB из референса</x:v>
      </x:c>
      <x:c r="M41" s="3" t="str">
        <x:v>Навес и проветриваемая укладка</x:v>
      </x:c>
      <x:c r="N41" s="3" t="str">
        <x:v>У бани/печного хозяйства, не в бессточном углублении</x:v>
      </x:c>
      <x:c r="O41" s="3" t="str">
        <x:v>Колода, проход, тележка</x:v>
      </x:c>
      <x:c r="P41" s="3" t="str">
        <x:v>Затертая дорожка к частым поленьям; торцы разной давности</x:v>
      </x:c>
      <x:c r="Q41" s="3" t="str">
        <x:v>См. сезонный атлас и паспорт сцены</x:v>
      </x:c>
      <x:c r="R41" s="3" t="str">
        <x:v>Поленья и удары при работе</x:v>
      </x:c>
      <x:c r="S41" s="3" t="str">
        <x:v>Предложено для игры</x:v>
      </x:c>
      <x:c r="T41" s="3" t="str">
        <x:v>["C038"]</x:v>
      </x:c>
      <x:c r="U41" s="3" t="str">
        <x:v>["S010"]</x:v>
      </x:c>
      <x:c r="V41" s="3" t="str">
        <x:v>[]</x:v>
      </x:c>
      <x:c r="W41" s="3" t="str">
        <x:v>P1</x:v>
      </x:c>
      <x:c r="X41" s="3" t="str">
        <x:v>Не выдавать предложенную комбинацию и размеры за обследованный типичный объект</x:v>
      </x:c>
      <x:c r="Y41" s="3" t="str">
        <x:v>https://almet-history.tatneft.ru/istoriya/traditsionnaya-kultura/remesla-i-narodnoe-iskusstvo/d-k/ihata?lang=ru</x:v>
      </x:c>
    </x:row>
    <x:row r="42" ht="96" customHeight="1">
      <x:c r="A42" s="3" t="str">
        <x:v>A041</x:v>
      </x:c>
      <x:c r="B42" s="3" t="str">
        <x:v>Огород</x:v>
      </x:c>
      <x:c r="C42" s="3" t="str"/>
      <x:c r="D42" s="3" t="str">
        <x:v>Растительность</x:v>
      </x:c>
      <x:c r="E42" s="3" t="str">
        <x:v>Выращивание выбранных культур</x:v>
      </x:c>
      <x:c r="F42" s="3" t="str">
        <x:v>Вымышленная деревня верховьев Ии, Арская модель</x:v>
      </x:c>
      <x:c r="G42" s="3" t="str">
        <x:v>2015 ±1, производственный ориентир</x:v>
      </x:c>
      <x:c r="H42" s="3" t="str">
        <x:v>H02/H03</x:v>
      </x:c>
      <x:c r="I42" s="3" t="str">
        <x:v>H02: задняя зона глубиной 20 м; проходы между грядами</x:v>
      </x:c>
      <x:c r="J42" s="3" t="str">
        <x:v>См. dimensions.csv; иначе конкретный размер не установлен и назначается проектом</x:v>
      </x:c>
      <x:c r="K42" s="3" t="str">
        <x:v>Грунт, посадки, опоры</x:v>
      </x:c>
      <x:c r="L42" s="3" t="str">
        <x:v>Тон назначать под освещение; не извлекать точный RGB из референса</x:v>
      </x:c>
      <x:c r="M42" s="3" t="str">
        <x:v>H02: задняя зона глубиной 20 м; проходы между грядами</x:v>
      </x:c>
      <x:c r="N42" s="3" t="str">
        <x:v>После дворовой и хозяйственной зон</x:v>
      </x:c>
      <x:c r="O42" s="3" t="str">
        <x:v>Емкость воды, компост, инструменты</x:v>
      </x:c>
      <x:c r="P42" s="3" t="str">
        <x:v>Уплотненные дорожки, свежий полив не везде одинаков</x:v>
      </x:c>
      <x:c r="Q42" s="3" t="str">
        <x:v>См. сезонный атлас и паспорт сцены</x:v>
      </x:c>
      <x:c r="R42" s="3" t="str">
        <x:v>Работа инструментом, шланг; не постоянный трактор</x:v>
      </x:c>
      <x:c r="S42" s="3" t="str">
        <x:v>Предложено для игры</x:v>
      </x:c>
      <x:c r="T42" s="3" t="str">
        <x:v>["C038"]</x:v>
      </x:c>
      <x:c r="U42" s="3" t="str">
        <x:v>["S010", "S013"]</x:v>
      </x:c>
      <x:c r="V42" s="3" t="str">
        <x:v>[]</x:v>
      </x:c>
      <x:c r="W42" s="3" t="str">
        <x:v>P0</x:v>
      </x:c>
      <x:c r="X42" s="3" t="str">
        <x:v>Не выдавать предложенную комбинацию и размеры за обследованный типичный объект</x:v>
      </x:c>
      <x:c r="Y42" s="3" t="str">
        <x:v>https://almet-history.tatneft.ru/istoriya/traditsionnaya-kultura/remesla-i-narodnoe-iskusstvo/d-k/ihata?lang=ru
https://historicalethnology.org/news/2024-t9-n2-4/</x:v>
      </x:c>
    </x:row>
    <x:row r="43" ht="96" customHeight="1">
      <x:c r="A43" s="3" t="str">
        <x:v>A042</x:v>
      </x:c>
      <x:c r="B43" s="3" t="str">
        <x:v>Теплица как необязательный вариант</x:v>
      </x:c>
      <x:c r="C43" s="3" t="str"/>
      <x:c r="D43" s="3" t="str">
        <x:v>Хозяйство</x:v>
      </x:c>
      <x:c r="E43" s="3" t="str">
        <x:v>Защищенное выращивание</x:v>
      </x:c>
      <x:c r="F43" s="3" t="str">
        <x:v>Вымышленная деревня верховьев Ии, Арская модель</x:v>
      </x:c>
      <x:c r="G43" s="3" t="str">
        <x:v>2015 ±1, производственный ориентир</x:v>
      </x:c>
      <x:c r="H43" s="3" t="str">
        <x:v>H03</x:v>
      </x:c>
      <x:c r="I43" s="3" t="str">
        <x:v>Тип и год должны быть выбраны, не автоматический купол в каждом дворе</x:v>
      </x:c>
      <x:c r="J43" s="3" t="str">
        <x:v>См. dimensions.csv; иначе конкретный размер не установлен и назначается проектом</x:v>
      </x:c>
      <x:c r="K43" s="3" t="str">
        <x:v>Каркас, прозрачное покрытие</x:v>
      </x:c>
      <x:c r="L43" s="3" t="str">
        <x:v>Тон назначать под освещение; не извлекать точный RGB из референса</x:v>
      </x:c>
      <x:c r="M43" s="3" t="str">
        <x:v>Тип и год должны быть выбраны, не автоматический купол в каждом дворе</x:v>
      </x:c>
      <x:c r="N43" s="3" t="str">
        <x:v>Только там, где не затенена сараем</x:v>
      </x:c>
      <x:c r="O43" s="3" t="str">
        <x:v>Вода, грядки</x:v>
      </x:c>
      <x:c r="P43" s="3" t="str">
        <x:v>Запотевание зависит от погоды, заплаты от ремонта</x:v>
      </x:c>
      <x:c r="Q43" s="3" t="str">
        <x:v>См. сезонный атлас и паспорт сцены</x:v>
      </x:c>
      <x:c r="R43" s="3" t="str">
        <x:v>Дверь, пленка/пластик по выбранному материалу</x:v>
      </x:c>
      <x:c r="S43" s="3" t="str">
        <x:v>Предложено для игры</x:v>
      </x:c>
      <x:c r="T43" s="3" t="str">
        <x:v>["C038"]</x:v>
      </x:c>
      <x:c r="U43" s="3" t="str">
        <x:v>[]</x:v>
      </x:c>
      <x:c r="V43" s="3" t="str">
        <x:v>[]</x:v>
      </x:c>
      <x:c r="W43" s="3" t="str">
        <x:v>P2</x:v>
      </x:c>
      <x:c r="X43" s="3" t="str">
        <x:v>Не выдавать предложенную комбинацию и размеры за обследованный типичный объект</x:v>
      </x:c>
      <x:c r="Y43" s="3" t="str"/>
    </x:row>
    <x:row r="44" ht="96" customHeight="1">
      <x:c r="A44" s="3" t="str">
        <x:v>A043</x:v>
      </x:c>
      <x:c r="B44" s="3" t="str">
        <x:v>Палисадник</x:v>
      </x:c>
      <x:c r="C44" s="3" t="str"/>
      <x:c r="D44" s="3" t="str">
        <x:v>Растительность</x:v>
      </x:c>
      <x:c r="E44" s="3" t="str">
        <x:v>Цветы, экран приватности, уход</x:v>
      </x:c>
      <x:c r="F44" s="3" t="str">
        <x:v>Вымышленная деревня верховьев Ии, Арская модель</x:v>
      </x:c>
      <x:c r="G44" s="3" t="str">
        <x:v>2015 ±1, производственный ориентир</x:v>
      </x:c>
      <x:c r="H44" s="3" t="str">
        <x:v>H02</x:v>
      </x:c>
      <x:c r="I44" s="3" t="str">
        <x:v>H02: полоса 10×3 м; дорожка ухода внутри, не заполняется кустами сплошь</x:v>
      </x:c>
      <x:c r="J44" s="3" t="str">
        <x:v>См. dimensions.csv; иначе конкретный размер не установлен и назначается проектом</x:v>
      </x:c>
      <x:c r="K44" s="3" t="str">
        <x:v>Почва, посадки, простой бордюр</x:v>
      </x:c>
      <x:c r="L44" s="3" t="str">
        <x:v>Тон назначать под освещение; не извлекать точный RGB из референса</x:v>
      </x:c>
      <x:c r="M44" s="3" t="str">
        <x:v>H02: полоса 10×3 м; дорожка ухода внутри, не заполняется кустами сплошь</x:v>
      </x:c>
      <x:c r="N44" s="3" t="str">
        <x:v>Перед фасадом, вне въезда</x:v>
      </x:c>
      <x:c r="O44" s="3" t="str">
        <x:v>Забор, окна, водосток</x:v>
      </x:c>
      <x:c r="P44" s="3" t="str">
        <x:v>Проплешины у доступа к окну, полив вокруг посадок</x:v>
      </x:c>
      <x:c r="Q44" s="3" t="str">
        <x:v>См. сезонный атлас и паспорт сцены</x:v>
      </x:c>
      <x:c r="R44" s="3" t="str">
        <x:v>Насекомые только по сезону, собственная запись</x:v>
      </x:c>
      <x:c r="S44" s="3" t="str">
        <x:v>Предложено для игры</x:v>
      </x:c>
      <x:c r="T44" s="3" t="str">
        <x:v>["C038"]</x:v>
      </x:c>
      <x:c r="U44" s="3" t="str">
        <x:v>["S010", "S101"]</x:v>
      </x:c>
      <x:c r="V44" s="3" t="str">
        <x:v>["V001"]</x:v>
      </x:c>
      <x:c r="W44" s="3" t="str">
        <x:v>P0</x:v>
      </x:c>
      <x:c r="X44" s="3" t="str">
        <x:v>Не выдавать предложенную комбинацию и размеры за обследованный типичный объект</x:v>
      </x:c>
      <x:c r="Y44" s="3" t="str">
        <x:v>https://almet-history.tatneft.ru/istoriya/traditsionnaya-kultura/remesla-i-narodnoe-iskusstvo/d-k/ihata?lang=ru
https://commons.wikimedia.org/wiki/File:New_Kyrlai_(2021-04-26)_01.jpg</x:v>
      </x:c>
    </x:row>
    <x:row r="45" ht="96" customHeight="1">
      <x:c r="A45" s="3" t="str">
        <x:v>A044</x:v>
      </x:c>
      <x:c r="B45" s="3" t="str">
        <x:v>Шланг и емкость для полива</x:v>
      </x:c>
      <x:c r="C45" s="3" t="str"/>
      <x:c r="D45" s="3" t="str">
        <x:v>Хозяйство</x:v>
      </x:c>
      <x:c r="E45" s="3" t="str">
        <x:v>Доставка воды к растениям</x:v>
      </x:c>
      <x:c r="F45" s="3" t="str">
        <x:v>Вымышленная деревня верховьев Ии, Арская модель</x:v>
      </x:c>
      <x:c r="G45" s="3" t="str">
        <x:v>2015 ±1, производственный ориентир</x:v>
      </x:c>
      <x:c r="H45" s="3" t="str">
        <x:v>H02/H03</x:v>
      </x:c>
      <x:c r="I45" s="3" t="str">
        <x:v>Участок шланга имеет начало; емкость стоит устойчиво</x:v>
      </x:c>
      <x:c r="J45" s="3" t="str">
        <x:v>См. dimensions.csv; иначе конкретный размер не установлен и назначается проектом</x:v>
      </x:c>
      <x:c r="K45" s="3" t="str">
        <x:v>Резина/полимер, металл/пластик</x:v>
      </x:c>
      <x:c r="L45" s="3" t="str">
        <x:v>Тон назначать под освещение; не извлекать точный RGB из референса</x:v>
      </x:c>
      <x:c r="M45" s="3" t="str">
        <x:v>Участок шланга имеет начало; емкость стоит устойчиво</x:v>
      </x:c>
      <x:c r="N45" s="3" t="str">
        <x:v>У водоразбора, не поперек главного прохода</x:v>
      </x:c>
      <x:c r="O45" s="3" t="str">
        <x:v>Лейка, грядка</x:v>
      </x:c>
      <x:c r="P45" s="3" t="str">
        <x:v>Водяное кольцо, налет на уровне воды</x:v>
      </x:c>
      <x:c r="Q45" s="3" t="str">
        <x:v>См. сезонный атлас и паспорт сцены</x:v>
      </x:c>
      <x:c r="R45" s="3" t="str">
        <x:v>Наполнение/полив отдельными событиями</x:v>
      </x:c>
      <x:c r="S45" s="3" t="str">
        <x:v>Предложено для игры</x:v>
      </x:c>
      <x:c r="T45" s="3" t="str">
        <x:v>["C038"]</x:v>
      </x:c>
      <x:c r="U45" s="3" t="str">
        <x:v>[]</x:v>
      </x:c>
      <x:c r="V45" s="3" t="str">
        <x:v>[]</x:v>
      </x:c>
      <x:c r="W45" s="3" t="str">
        <x:v>P1</x:v>
      </x:c>
      <x:c r="X45" s="3" t="str">
        <x:v>Не выдавать предложенную комбинацию и размеры за обследованный типичный объект</x:v>
      </x:c>
      <x:c r="Y45" s="3" t="str"/>
    </x:row>
    <x:row r="46" ht="96" customHeight="1">
      <x:c r="A46" s="3" t="str">
        <x:v>A045</x:v>
      </x:c>
      <x:c r="B46" s="3" t="str">
        <x:v>Ручной инструмент</x:v>
      </x:c>
      <x:c r="C46" s="3" t="str"/>
      <x:c r="D46" s="3" t="str">
        <x:v>Хозяйство</x:v>
      </x:c>
      <x:c r="E46" s="3" t="str">
        <x:v>Уход, ремонт, огород</x:v>
      </x:c>
      <x:c r="F46" s="3" t="str">
        <x:v>Вымышленная деревня верховьев Ии, Арская модель</x:v>
      </x:c>
      <x:c r="G46" s="3" t="str">
        <x:v>2015 ±1, производственный ориентир</x:v>
      </x:c>
      <x:c r="H46" s="3" t="str">
        <x:v>H02/H03</x:v>
      </x:c>
      <x:c r="I46" s="3" t="str">
        <x:v>Лопата, грабли, ведро по конкретной работе</x:v>
      </x:c>
      <x:c r="J46" s="3" t="str">
        <x:v>См. dimensions.csv; иначе конкретный размер не установлен и назначается проектом</x:v>
      </x:c>
      <x:c r="K46" s="3" t="str">
        <x:v>Дерево, металл</x:v>
      </x:c>
      <x:c r="L46" s="3" t="str">
        <x:v>Тон назначать под освещение; не извлекать точный RGB из референса</x:v>
      </x:c>
      <x:c r="M46" s="3" t="str">
        <x:v>Лопата, грабли, ведро по конкретной работе</x:v>
      </x:c>
      <x:c r="N46" s="3" t="str">
        <x:v>Под навесом или на рабочем месте; не все предметы разом</x:v>
      </x:c>
      <x:c r="O46" s="3" t="str">
        <x:v>Грунт, сарай</x:v>
      </x:c>
      <x:c r="P46" s="3" t="str">
        <x:v>Гладкая рукоять, грязь на рабочей части</x:v>
      </x:c>
      <x:c r="Q46" s="3" t="str">
        <x:v>См. сезонный атлас и паспорт сцены</x:v>
      </x:c>
      <x:c r="R46" s="3" t="str">
        <x:v>Удар/скребок по материалу</x:v>
      </x:c>
      <x:c r="S46" s="3" t="str">
        <x:v>Предложено для игры</x:v>
      </x:c>
      <x:c r="T46" s="3" t="str">
        <x:v>["C038"]</x:v>
      </x:c>
      <x:c r="U46" s="3" t="str">
        <x:v>[]</x:v>
      </x:c>
      <x:c r="V46" s="3" t="str">
        <x:v>[]</x:v>
      </x:c>
      <x:c r="W46" s="3" t="str">
        <x:v>P1</x:v>
      </x:c>
      <x:c r="X46" s="3" t="str">
        <x:v>Не выдавать предложенную комбинацию и размеры за обследованный типичный объект</x:v>
      </x:c>
      <x:c r="Y46" s="3" t="str"/>
    </x:row>
    <x:row r="47" ht="96" customHeight="1">
      <x:c r="A47" s="3" t="str">
        <x:v>A046</x:v>
      </x:c>
      <x:c r="B47" s="3" t="str">
        <x:v>Скамья у магазина</x:v>
      </x:c>
      <x:c r="C47" s="3" t="str"/>
      <x:c r="D47" s="3" t="str">
        <x:v>Общественное</x:v>
      </x:c>
      <x:c r="E47" s="3" t="str">
        <x:v>Короткий отдых и разговор</x:v>
      </x:c>
      <x:c r="F47" s="3" t="str">
        <x:v>Вымышленная деревня верховьев Ии, Арская модель</x:v>
      </x:c>
      <x:c r="G47" s="3" t="str">
        <x:v>2015 ±1, производственный ориентир</x:v>
      </x:c>
      <x:c r="H47" s="3" t="str">
        <x:v>Общественное</x:v>
      </x:c>
      <x:c r="I47" s="3" t="str">
        <x:v>Посадка не мешает входу и разгрузке</x:v>
      </x:c>
      <x:c r="J47" s="3" t="str">
        <x:v>См. dimensions.csv; иначе конкретный размер не установлен и назначается проектом</x:v>
      </x:c>
      <x:c r="K47" s="3" t="str">
        <x:v>Доска, металл</x:v>
      </x:c>
      <x:c r="L47" s="3" t="str">
        <x:v>Тон назначать под освещение; не извлекать точный RGB из референса</x:v>
      </x:c>
      <x:c r="M47" s="3" t="str">
        <x:v>Посадка не мешает входу и разгрузке</x:v>
      </x:c>
      <x:c r="N47" s="3" t="str">
        <x:v>Сбоку общественного входа</x:v>
      </x:c>
      <x:c r="O47" s="3" t="str">
        <x:v>Урна, объявление</x:v>
      </x:c>
      <x:c r="P47" s="3" t="str">
        <x:v>Полировка сиденья, след обуви снизу</x:v>
      </x:c>
      <x:c r="Q47" s="3" t="str">
        <x:v>См. сезонный атлас и паспорт сцены</x:v>
      </x:c>
      <x:c r="R47" s="3" t="str">
        <x:v>Разговор и редкий скрип</x:v>
      </x:c>
      <x:c r="S47" s="3" t="str">
        <x:v>Предложено для игры</x:v>
      </x:c>
      <x:c r="T47" s="3" t="str">
        <x:v>["C038"]</x:v>
      </x:c>
      <x:c r="U47" s="3" t="str">
        <x:v>["S015", "S014"]</x:v>
      </x:c>
      <x:c r="V47" s="3" t="str">
        <x:v>[]</x:v>
      </x:c>
      <x:c r="W47" s="3" t="str">
        <x:v>P1</x:v>
      </x:c>
      <x:c r="X47" s="3" t="str">
        <x:v>Не выдавать предложенную комбинацию и размеры за обследованный типичный объект</x:v>
      </x:c>
      <x:c r="Y47" s="3" t="str">
        <x:v>https://tatarica.org/ru/razdely/municipalnye-obrazovaniya/municipalnye-rajony/arskij-rajon/novyj-kyrlaj
https://historicalethnology.org/news/2024-t9-n2-10/</x:v>
      </x:c>
    </x:row>
    <x:row r="48" ht="96" customHeight="1">
      <x:c r="A48" s="3" t="str">
        <x:v>A047</x:v>
      </x:c>
      <x:c r="B48" s="3" t="str">
        <x:v>Магазин и объявление</x:v>
      </x:c>
      <x:c r="C48" s="3" t="str"/>
      <x:c r="D48" s="3" t="str">
        <x:v>Общественное</x:v>
      </x:c>
      <x:c r="E48" s="3" t="str">
        <x:v>Повседневные покупки</x:v>
      </x:c>
      <x:c r="F48" s="3" t="str">
        <x:v>Вымышленная деревня верховьев Ии, Арская модель</x:v>
      </x:c>
      <x:c r="G48" s="3" t="str">
        <x:v>2015 ±1, производственный ориентир</x:v>
      </x:c>
      <x:c r="H48" s="3" t="str">
        <x:v>Общественное</x:v>
      </x:c>
      <x:c r="I48" s="3" t="str">
        <x:v>Небольшой объем, отдельный вход, понятное время работы как вымышленный текст</x:v>
      </x:c>
      <x:c r="J48" s="3" t="str">
        <x:v>См. dimensions.csv; иначе конкретный размер не установлен и назначается проектом</x:v>
      </x:c>
      <x:c r="K48" s="3" t="str">
        <x:v>Кирпич/обшивка по выбранной истории</x:v>
      </x:c>
      <x:c r="L48" s="3" t="str">
        <x:v>Тон назначать под освещение; не извлекать точный RGB из референса</x:v>
      </x:c>
      <x:c r="M48" s="3" t="str">
        <x:v>Небольшой объем, отдельный вход, понятное время работы как вымышленный текст</x:v>
      </x:c>
      <x:c r="N48" s="3" t="str">
        <x:v>У узла дорог, не обязательный торговый центр</x:v>
      </x:c>
      <x:c r="O48" s="3" t="str">
        <x:v>Подъезд, место разгрузки</x:v>
      </x:c>
      <x:c r="P48" s="3" t="str">
        <x:v>Потертость порога и выцветание бумаги</x:v>
      </x:c>
      <x:c r="Q48" s="3" t="str">
        <x:v>См. сезонный атлас и паспорт сцены</x:v>
      </x:c>
      <x:c r="R48" s="3" t="str">
        <x:v>Дверь, холодильное оборудование и речь только при открытии</x:v>
      </x:c>
      <x:c r="S48" s="3" t="str">
        <x:v>Предложено для игры</x:v>
      </x:c>
      <x:c r="T48" s="3" t="str">
        <x:v>["C038"]</x:v>
      </x:c>
      <x:c r="U48" s="3" t="str">
        <x:v>["S015"]</x:v>
      </x:c>
      <x:c r="V48" s="3" t="str">
        <x:v>[]</x:v>
      </x:c>
      <x:c r="W48" s="3" t="str">
        <x:v>P0</x:v>
      </x:c>
      <x:c r="X48" s="3" t="str">
        <x:v>Не выдавать предложенную комбинацию и размеры за обследованный типичный объект</x:v>
      </x:c>
      <x:c r="Y48" s="3" t="str">
        <x:v>https://tatarica.org/ru/razdely/municipalnye-obrazovaniya/municipalnye-rajony/arskij-rajon/novyj-kyrlaj</x:v>
      </x:c>
    </x:row>
    <x:row r="49" ht="96" customHeight="1">
      <x:c r="A49" s="3" t="str">
        <x:v>A048</x:v>
      </x:c>
      <x:c r="B49" s="3" t="str">
        <x:v>Остановка</x:v>
      </x:c>
      <x:c r="C49" s="3" t="str"/>
      <x:c r="D49" s="3" t="str">
        <x:v>Общественное</x:v>
      </x:c>
      <x:c r="E49" s="3" t="str">
        <x:v>Ожидание транспорта</x:v>
      </x:c>
      <x:c r="F49" s="3" t="str">
        <x:v>Вымышленная деревня верховьев Ии, Арская модель</x:v>
      </x:c>
      <x:c r="G49" s="3" t="str">
        <x:v>2015 ±1, производственный ориентир</x:v>
      </x:c>
      <x:c r="H49" s="3" t="str">
        <x:v>Общественное</x:v>
      </x:c>
      <x:c r="I49" s="3" t="str">
        <x:v>Не ставить прямо в канаву; расписание не копировать как актуальное</x:v>
      </x:c>
      <x:c r="J49" s="3" t="str">
        <x:v>См. dimensions.csv; иначе конкретный размер не установлен и назначается проектом</x:v>
      </x:c>
      <x:c r="K49" s="3" t="str">
        <x:v>Металл/бетон; выбранная конструкция</x:v>
      </x:c>
      <x:c r="L49" s="3" t="str">
        <x:v>Тон назначать под освещение; не извлекать точный RGB из референса</x:v>
      </x:c>
      <x:c r="M49" s="3" t="str">
        <x:v>Не ставить прямо в канаву; расписание не копировать как актуальное</x:v>
      </x:c>
      <x:c r="N49" s="3" t="str">
        <x:v>На подъездной дороге рядом с узлом</x:v>
      </x:c>
      <x:c r="O49" s="3" t="str">
        <x:v>Дорога, тропа к магазину</x:v>
      </x:c>
      <x:c r="P49" s="3" t="str">
        <x:v>Брызги с дорожной стороны, локальные ремонты</x:v>
      </x:c>
      <x:c r="Q49" s="3" t="str">
        <x:v>См. сезонный атлас и паспорт сцены</x:v>
      </x:c>
      <x:c r="R49" s="3" t="str">
        <x:v>Автобус редким событием, не бесконечный холостой ход</x:v>
      </x:c>
      <x:c r="S49" s="3" t="str">
        <x:v>Предложено для игры</x:v>
      </x:c>
      <x:c r="T49" s="3" t="str">
        <x:v>["C038"]</x:v>
      </x:c>
      <x:c r="U49" s="3" t="str">
        <x:v>[]</x:v>
      </x:c>
      <x:c r="V49" s="3" t="str">
        <x:v>[]</x:v>
      </x:c>
      <x:c r="W49" s="3" t="str">
        <x:v>P1</x:v>
      </x:c>
      <x:c r="X49" s="3" t="str">
        <x:v>Не выдавать предложенную комбинацию и размеры за обследованный типичный объект</x:v>
      </x:c>
      <x:c r="Y49" s="3" t="str"/>
    </x:row>
    <x:row r="50" ht="96" customHeight="1">
      <x:c r="A50" s="3" t="str">
        <x:v>A049</x:v>
      </x:c>
      <x:c r="B50" s="3" t="str">
        <x:v>Мечеть и ее двор</x:v>
      </x:c>
      <x:c r="C50" s="3" t="str"/>
      <x:c r="D50" s="3" t="str">
        <x:v>Общественное</x:v>
      </x:c>
      <x:c r="E50" s="3" t="str">
        <x:v>Религиозная жизнь части сообщества</x:v>
      </x:c>
      <x:c r="F50" s="3" t="str">
        <x:v>Вымышленная деревня верховьев Ии, Арская модель</x:v>
      </x:c>
      <x:c r="G50" s="3" t="str">
        <x:v>2015 ±1, производственный ориентир</x:v>
      </x:c>
      <x:c r="H50" s="3" t="str">
        <x:v>Общественное</x:v>
      </x:c>
      <x:c r="I50" s="3" t="str">
        <x:v>Отдельный общественный объект; объем после локального выбора</x:v>
      </x:c>
      <x:c r="J50" s="3" t="str">
        <x:v>См. dimensions.csv; иначе конкретный размер не установлен и назначается проектом</x:v>
      </x:c>
      <x:c r="K50" s="3" t="str">
        <x:v>По конкретному локальному прототипу, пока проект</x:v>
      </x:c>
      <x:c r="L50" s="3" t="str">
        <x:v>Тон назначать под освещение; не извлекать точный RGB из референса</x:v>
      </x:c>
      <x:c r="M50" s="3" t="str">
        <x:v>Отдельный общественный объект; объем после локального выбора</x:v>
      </x:c>
      <x:c r="N50" s="3" t="str">
        <x:v>Не дом с приклеенным минаретом; подход и двор отдельно</x:v>
      </x:c>
      <x:c r="O50" s="3" t="str">
        <x:v>Улица, вход, ограждение</x:v>
      </x:c>
      <x:c r="P50" s="3" t="str">
        <x:v>Обычный уход; не источник врожденной мистики</x:v>
      </x:c>
      <x:c r="Q50" s="3" t="str">
        <x:v>См. сезонный атлас и паспорт сцены</x:v>
      </x:c>
      <x:c r="R50" s="3" t="str">
        <x:v>Наличие усиленного призыва и расписание не установлены</x:v>
      </x:c>
      <x:c r="S50" s="3" t="str">
        <x:v>Предложено для игры</x:v>
      </x:c>
      <x:c r="T50" s="3" t="str">
        <x:v>["C038"]</x:v>
      </x:c>
      <x:c r="U50" s="3" t="str">
        <x:v>["S015", "S022", "S024"]</x:v>
      </x:c>
      <x:c r="V50" s="3" t="str">
        <x:v>[]</x:v>
      </x:c>
      <x:c r="W50" s="3" t="str">
        <x:v>P1</x:v>
      </x:c>
      <x:c r="X50" s="3" t="str">
        <x:v>Не выдавать предложенную комбинацию и размеры за обследованный типичный объект</x:v>
      </x:c>
      <x:c r="Y50" s="3" t="str">
        <x:v>https://tatarica.org/ru/razdely/municipalnye-obrazovaniya/municipalnye-rajony/arskij-rajon/novyj-kyrlaj
https://tatarica.org/ru/razdely/municipalnye-obrazovaniya/municipalnye-rajony/atninskij/staryj-menger
https://tatarica.org/ru/razdely/municipalnye-obrazovaniya/municipalnye-rajony/kukmorskij-rajon-1/tuembash</x:v>
      </x:c>
    </x:row>
    <x:row r="51" ht="96" customHeight="1">
      <x:c r="A51" s="3" t="str">
        <x:v>A050</x:v>
      </x:c>
      <x:c r="B51" s="3" t="str">
        <x:v>Памятный объект/клуб</x:v>
      </x:c>
      <x:c r="C51" s="3" t="str"/>
      <x:c r="D51" s="3" t="str">
        <x:v>Общественное</x:v>
      </x:c>
      <x:c r="E51" s="3" t="str">
        <x:v>Память и собрания; раздельные функции</x:v>
      </x:c>
      <x:c r="F51" s="3" t="str">
        <x:v>Вымышленная деревня верховьев Ии, Арская модель</x:v>
      </x:c>
      <x:c r="G51" s="3" t="str">
        <x:v>2015 ±1, производственный ориентир</x:v>
      </x:c>
      <x:c r="H51" s="3" t="str">
        <x:v>Общественное</x:v>
      </x:c>
      <x:c r="I51" s="3" t="str">
        <x:v>Масштаб соответствует селу, не монументальный ансамбль</x:v>
      </x:c>
      <x:c r="J51" s="3" t="str">
        <x:v>См. dimensions.csv; иначе конкретный размер не установлен и назначается проектом</x:v>
      </x:c>
      <x:c r="K51" s="3" t="str">
        <x:v>Материал после выбранного референса</x:v>
      </x:c>
      <x:c r="L51" s="3" t="str">
        <x:v>Тон назначать под освещение; не извлекать точный RGB из референса</x:v>
      </x:c>
      <x:c r="M51" s="3" t="str">
        <x:v>Масштаб соответствует селу, не монументальный ансамбль</x:v>
      </x:c>
      <x:c r="N51" s="3" t="str">
        <x:v>Небольшой общественный узел</x:v>
      </x:c>
      <x:c r="O51" s="3" t="str">
        <x:v>Подход, лавка, место ухода</x:v>
      </x:c>
      <x:c r="P51" s="3" t="str">
        <x:v>Более свежая краска перед уходом возможна как проект</x:v>
      </x:c>
      <x:c r="Q51" s="3" t="str">
        <x:v>См. сезонный атлас и паспорт сцены</x:v>
      </x:c>
      <x:c r="R51" s="3" t="str">
        <x:v>Мероприятие по случаю; не непрерывный концерт</x:v>
      </x:c>
      <x:c r="S51" s="3" t="str">
        <x:v>Предложено для игры</x:v>
      </x:c>
      <x:c r="T51" s="3" t="str">
        <x:v>["C038"]</x:v>
      </x:c>
      <x:c r="U51" s="3" t="str">
        <x:v>["S015", "S014"]</x:v>
      </x:c>
      <x:c r="V51" s="3" t="str">
        <x:v>[]</x:v>
      </x:c>
      <x:c r="W51" s="3" t="str">
        <x:v>P2</x:v>
      </x:c>
      <x:c r="X51" s="3" t="str">
        <x:v>Не выдавать предложенную комбинацию и размеры за обследованный типичный объект</x:v>
      </x:c>
      <x:c r="Y51" s="3" t="str">
        <x:v>https://tatarica.org/ru/razdely/municipalnye-obrazovaniya/municipalnye-rajony/arskij-rajon/novyj-kyrlaj
https://historicalethnology.org/news/2024-t9-n2-10/</x:v>
      </x:c>
    </x:row>
    <x:row r="52" ht="96" customHeight="1">
      <x:c r="A52" s="3" t="str">
        <x:v>A051</x:v>
      </x:c>
      <x:c r="B52" s="3" t="str">
        <x:v>Тропа к воде</x:v>
      </x:c>
      <x:c r="C52" s="3" t="str"/>
      <x:c r="D52" s="3" t="str">
        <x:v>Ландшафт</x:v>
      </x:c>
      <x:c r="E52" s="3" t="str">
        <x:v>Связь дворов/общественного места с берегом</x:v>
      </x:c>
      <x:c r="F52" s="3" t="str">
        <x:v>Вымышленная деревня верховьев Ии, Арская модель</x:v>
      </x:c>
      <x:c r="G52" s="3" t="str">
        <x:v>2015 ±1, производственный ориентир</x:v>
      </x:c>
      <x:c r="H52" s="3" t="str">
        <x:v>Ландшафт</x:v>
      </x:c>
      <x:c r="I52" s="3" t="str">
        <x:v>1,2 м проект; местами шире от обхода грязи</x:v>
      </x:c>
      <x:c r="J52" s="3" t="str">
        <x:v>См. dimensions.csv; иначе конкретный размер не установлен и назначается проектом</x:v>
      </x:c>
      <x:c r="K52" s="3" t="str">
        <x:v>Грунт, трава</x:v>
      </x:c>
      <x:c r="L52" s="3" t="str">
        <x:v>Тон назначать под освещение; не извлекать точный RGB из референса</x:v>
      </x:c>
      <x:c r="M52" s="3" t="str">
        <x:v>1,2 м проект; местами шире от обхода грязи</x:v>
      </x:c>
      <x:c r="N52" s="3" t="str">
        <x:v>По физически возможному спуску</x:v>
      </x:c>
      <x:c r="O52" s="3" t="str">
        <x:v>Берег, кустарники</x:v>
      </x:c>
      <x:c r="P52" s="3" t="str">
        <x:v>Колея/уплотнение по маршруту, сырость внизу</x:v>
      </x:c>
      <x:c r="Q52" s="3" t="str">
        <x:v>См. сезонный атлас и паспорт сцены</x:v>
      </x:c>
      <x:c r="R52" s="3" t="str">
        <x:v>Шаги меняются у воды</x:v>
      </x:c>
      <x:c r="S52" s="3" t="str">
        <x:v>Предложено для игры</x:v>
      </x:c>
      <x:c r="T52" s="3" t="str">
        <x:v>["C038"]</x:v>
      </x:c>
      <x:c r="U52" s="3" t="str">
        <x:v>["S016", "S102"]</x:v>
      </x:c>
      <x:c r="V52" s="3" t="str">
        <x:v>["V002"]</x:v>
      </x:c>
      <x:c r="W52" s="3" t="str">
        <x:v>P0</x:v>
      </x:c>
      <x:c r="X52" s="3" t="str">
        <x:v>Не выдавать предложенную комбинацию и размеры за обследованный типичный объект</x:v>
      </x:c>
      <x:c r="Y52" s="3" t="str">
        <x:v>https://tatarica.org/ru/razdely/priroda/gidrograficheskaya-set/reki/iya
https://commons.wikimedia.org/wiki/File:2014-07-15_14-02-02_Тукай-Кырлай.jpg</x:v>
      </x:c>
    </x:row>
    <x:row r="53" ht="96" customHeight="1">
      <x:c r="A53" s="3" t="str">
        <x:v>A052</x:v>
      </x:c>
      <x:c r="B53" s="3" t="str">
        <x:v>Мостик через ручей</x:v>
      </x:c>
      <x:c r="C53" s="3" t="str"/>
      <x:c r="D53" s="3" t="str">
        <x:v>Ландшафт</x:v>
      </x:c>
      <x:c r="E53" s="3" t="str">
        <x:v>Пешеходный переход</x:v>
      </x:c>
      <x:c r="F53" s="3" t="str">
        <x:v>Вымышленная деревня верховьев Ии, Арская модель</x:v>
      </x:c>
      <x:c r="G53" s="3" t="str">
        <x:v>2015 ±1, производственный ориентир</x:v>
      </x:c>
      <x:c r="H53" s="3" t="str">
        <x:v>Ландшафт</x:v>
      </x:c>
      <x:c r="I53" s="3" t="str">
        <x:v>1,5 м шириной — проект; ручей 2 м не обмер Ии</x:v>
      </x:c>
      <x:c r="J53" s="3" t="str">
        <x:v>См. dimensions.csv; иначе конкретный размер не установлен и назначается проектом</x:v>
      </x:c>
      <x:c r="K53" s="3" t="str">
        <x:v>Дерево/металл по выбранной конструкции</x:v>
      </x:c>
      <x:c r="L53" s="3" t="str">
        <x:v>Тон назначать под освещение; не извлекать точный RGB из референса</x:v>
      </x:c>
      <x:c r="M53" s="3" t="str">
        <x:v>1,5 м шириной — проект; ручей 2 м не обмер Ии</x:v>
      </x:c>
      <x:c r="N53" s="3" t="str">
        <x:v>Поперек водотока на маршруте</x:v>
      </x:c>
      <x:c r="O53" s="3" t="str">
        <x:v>Подходы, берег</x:v>
      </x:c>
      <x:c r="P53" s="3" t="str">
        <x:v>Мокрые нижние части, износ в линии ходьбы</x:v>
      </x:c>
      <x:c r="Q53" s="3" t="str">
        <x:v>См. сезонный атлас и паспорт сцены</x:v>
      </x:c>
      <x:c r="R53" s="3" t="str">
        <x:v>Настил, вода снизу; зависит от сезона</x:v>
      </x:c>
      <x:c r="S53" s="3" t="str">
        <x:v>Предложено для игры</x:v>
      </x:c>
      <x:c r="T53" s="3" t="str">
        <x:v>["C038"]</x:v>
      </x:c>
      <x:c r="U53" s="3" t="str">
        <x:v>[]</x:v>
      </x:c>
      <x:c r="V53" s="3" t="str">
        <x:v>[]</x:v>
      </x:c>
      <x:c r="W53" s="3" t="str">
        <x:v>P1</x:v>
      </x:c>
      <x:c r="X53" s="3" t="str">
        <x:v>Не выдавать предложенную комбинацию и размеры за обследованный типичный объект</x:v>
      </x:c>
      <x:c r="Y53" s="3" t="str"/>
    </x:row>
    <x:row r="54" ht="96" customHeight="1">
      <x:c r="A54" s="3" t="str">
        <x:v>A053</x:v>
      </x:c>
      <x:c r="B54" s="3" t="str">
        <x:v>Березовая береговая группа</x:v>
      </x:c>
      <x:c r="C54" s="3" t="str"/>
      <x:c r="D54" s="3" t="str">
        <x:v>Растительность</x:v>
      </x:c>
      <x:c r="E54" s="3" t="str">
        <x:v>Масса берега и сезонная перспектива</x:v>
      </x:c>
      <x:c r="F54" s="3" t="str">
        <x:v>Вымышленная деревня верховьев Ии, Арская модель</x:v>
      </x:c>
      <x:c r="G54" s="3" t="str">
        <x:v>2015 ±1, производственный ориентир</x:v>
      </x:c>
      <x:c r="H54" s="3" t="str">
        <x:v>Ландшафт</x:v>
      </x:c>
      <x:c r="I54" s="3" t="str">
        <x:v>Определение до рода по V002; игровая высота отдельно</x:v>
      </x:c>
      <x:c r="J54" s="3" t="str">
        <x:v>См. dimensions.csv; иначе конкретный размер не установлен и назначается проектом</x:v>
      </x:c>
      <x:c r="K54" s="3" t="str">
        <x:v>Ствол, ветви, листья</x:v>
      </x:c>
      <x:c r="L54" s="3" t="str">
        <x:v>Тон назначать под освещение; не извлекать точный RGB из референса</x:v>
      </x:c>
      <x:c r="M54" s="3" t="str">
        <x:v>Определение до рода по V002; игровая высота отдельно</x:v>
      </x:c>
      <x:c r="N54" s="3" t="str">
        <x:v>Береговая сцена, не каждая обочина</x:v>
      </x:c>
      <x:c r="O54" s="3" t="str">
        <x:v>Вода, травы</x:v>
      </x:c>
      <x:c r="P54" s="3" t="str">
        <x:v>Порода не означает одинаковую белизну всех стволов</x:v>
      </x:c>
      <x:c r="Q54" s="3" t="str">
        <x:v>См. сезонный атлас и паспорт сцены</x:v>
      </x:c>
      <x:c r="R54" s="3" t="str">
        <x:v>Листва только в облиственном состоянии</x:v>
      </x:c>
      <x:c r="S54" s="3" t="str">
        <x:v>Предложено для игры</x:v>
      </x:c>
      <x:c r="T54" s="3" t="str">
        <x:v>["C038"]</x:v>
      </x:c>
      <x:c r="U54" s="3" t="str">
        <x:v>["S102"]</x:v>
      </x:c>
      <x:c r="V54" s="3" t="str">
        <x:v>["V002"]</x:v>
      </x:c>
      <x:c r="W54" s="3" t="str">
        <x:v>P0</x:v>
      </x:c>
      <x:c r="X54" s="3" t="str">
        <x:v>Не выдавать предложенную комбинацию и размеры за обследованный типичный объект</x:v>
      </x:c>
      <x:c r="Y54" s="3" t="str">
        <x:v>https://commons.wikimedia.org/wiki/File:2014-07-15_14-02-02_Тукай-Кырлай.jpg</x:v>
      </x:c>
    </x:row>
    <x:row r="55" ht="96" customHeight="1">
      <x:c r="A55" s="3" t="str">
        <x:v>A054</x:v>
      </x:c>
      <x:c r="B55" s="3" t="str">
        <x:v>Лесная опушка</x:v>
      </x:c>
      <x:c r="C55" s="3" t="str"/>
      <x:c r="D55" s="3" t="str">
        <x:v>Ландшафт</x:v>
      </x:c>
      <x:c r="E55" s="3" t="str">
        <x:v>Переход поля в древесную группу</x:v>
      </x:c>
      <x:c r="F55" s="3" t="str">
        <x:v>Вымышленная деревня верховьев Ии, Арская модель</x:v>
      </x:c>
      <x:c r="G55" s="3" t="str">
        <x:v>2015 ±1, производственный ориентир</x:v>
      </x:c>
      <x:c r="H55" s="3" t="str">
        <x:v>Ландшафт</x:v>
      </x:c>
      <x:c r="I55" s="3" t="str">
        <x:v>15 м переходной полосы — проект, не установленная норма</x:v>
      </x:c>
      <x:c r="J55" s="3" t="str">
        <x:v>См. dimensions.csv; иначе конкретный размер не установлен и назначается проектом</x:v>
      </x:c>
      <x:c r="K55" s="3" t="str">
        <x:v>Травы, кусты, подрост, взрослые деревья</x:v>
      </x:c>
      <x:c r="L55" s="3" t="str">
        <x:v>Тон назначать под освещение; не извлекать точный RGB из референса</x:v>
      </x:c>
      <x:c r="M55" s="3" t="str">
        <x:v>15 м переходной полосы — проект, не установленная норма</x:v>
      </x:c>
      <x:c r="N55" s="3" t="str">
        <x:v>Между открытым пространством и лесом</x:v>
      </x:c>
      <x:c r="O55" s="3" t="str">
        <x:v>Полевая дорога, дренаж</x:v>
      </x:c>
      <x:c r="P55" s="3" t="str">
        <x:v>Разные зоны света и вытаптывания</x:v>
      </x:c>
      <x:c r="Q55" s="3" t="str">
        <x:v>См. сезонный атлас и паспорт сцены</x:v>
      </x:c>
      <x:c r="R55" s="3" t="str">
        <x:v>Поле и лес меняются постепенно, не резкий переключатель</x:v>
      </x:c>
      <x:c r="S55" s="3" t="str">
        <x:v>Предложено для игры</x:v>
      </x:c>
      <x:c r="T55" s="3" t="str">
        <x:v>["C038"]</x:v>
      </x:c>
      <x:c r="U55" s="3" t="str">
        <x:v>["S017", "S027"]</x:v>
      </x:c>
      <x:c r="V55" s="3" t="str">
        <x:v>[]</x:v>
      </x:c>
      <x:c r="W55" s="3" t="str">
        <x:v>P0</x:v>
      </x:c>
      <x:c r="X55" s="3" t="str">
        <x:v>Не выдавать предложенную комбинацию и размеры за обследованный типичный объект</x:v>
      </x:c>
      <x:c r="Y55" s="3" t="str">
        <x:v>https://tatarica.org/ru/razdely/municipalnye-obrazovaniya/municipalnye-rajony/arskij-rajon/arskij-rajon-1
https://tatarica.org/ru/razdely/priroda/poleznye-iskopaemye/sabinskoe-lesnichestvo</x:v>
      </x:c>
    </x:row>
    <x:row r="56" ht="96" customHeight="1">
      <x:c r="A56" s="3" t="str">
        <x:v>A055</x:v>
      </x:c>
      <x:c r="B56" s="3" t="str">
        <x:v>Хвойно-лиственный лесной фрагмент</x:v>
      </x:c>
      <x:c r="C56" s="3" t="str"/>
      <x:c r="D56" s="3" t="str">
        <x:v>Ландшафт</x:v>
      </x:c>
      <x:c r="E56" s="3" t="str">
        <x:v>Лесная среда выбранной модели</x:v>
      </x:c>
      <x:c r="F56" s="3" t="str">
        <x:v>Вымышленная деревня верховьев Ии, Арская модель</x:v>
      </x:c>
      <x:c r="G56" s="3" t="str">
        <x:v>2015 ±1, производственный ориентир</x:v>
      </x:c>
      <x:c r="H56" s="3" t="str">
        <x:v>Ландшафт</x:v>
      </x:c>
      <x:c r="I56" s="3" t="str">
        <x:v>Не все районные породы в каждом квадрате; отдельные сообщества</x:v>
      </x:c>
      <x:c r="J56" s="3" t="str">
        <x:v>См. dimensions.csv; иначе конкретный размер не установлен и назначается проектом</x:v>
      </x:c>
      <x:c r="K56" s="3" t="str">
        <x:v>Ель/сосна/лиственные по региональной основе</x:v>
      </x:c>
      <x:c r="L56" s="3" t="str">
        <x:v>Тон назначать под освещение; не извлекать точный RGB из референса</x:v>
      </x:c>
      <x:c r="M56" s="3" t="str">
        <x:v>Не все районные породы в каждом квадрате; отдельные сообщества</x:v>
      </x:c>
      <x:c r="N56" s="3" t="str">
        <x:v>Отдельный участок за открытым переходом</x:v>
      </x:c>
      <x:c r="O56" s="3" t="str">
        <x:v>Опушка, тропа</x:v>
      </x:c>
      <x:c r="P56" s="3" t="str">
        <x:v>Валежник объясняется падением дерева, не рассыпан равномерно</x:v>
      </x:c>
      <x:c r="Q56" s="3" t="str">
        <x:v>См. сезонный атлас и паспорт сцены</x:v>
      </x:c>
      <x:c r="R56" s="3" t="str">
        <x:v>Ветер, птицы и шаги по сезону; запись не получена</x:v>
      </x:c>
      <x:c r="S56" s="3" t="str">
        <x:v>Предложено для игры</x:v>
      </x:c>
      <x:c r="T56" s="3" t="str">
        <x:v>["C038"]</x:v>
      </x:c>
      <x:c r="U56" s="3" t="str">
        <x:v>["S017", "S027"]</x:v>
      </x:c>
      <x:c r="V56" s="3" t="str">
        <x:v>[]</x:v>
      </x:c>
      <x:c r="W56" s="3" t="str">
        <x:v>P0</x:v>
      </x:c>
      <x:c r="X56" s="3" t="str">
        <x:v>Не выдавать предложенную комбинацию и размеры за обследованный типичный объект</x:v>
      </x:c>
      <x:c r="Y56" s="3" t="str">
        <x:v>https://tatarica.org/ru/razdely/municipalnye-obrazovaniya/municipalnye-rajony/arskij-rajon/arskij-rajon-1
https://tatarica.org/ru/razdely/priroda/poleznye-iskopaemye/sabinskoe-lesnichestvo</x:v>
      </x:c>
    </x:row>
    <x:row r="57" ht="96" customHeight="1">
      <x:c r="A57" s="3" t="str">
        <x:v>A056</x:v>
      </x:c>
      <x:c r="B57" s="3" t="str">
        <x:v>Вещь-память: свадебный сувенир</x:v>
      </x:c>
      <x:c r="C57" s="3" t="str"/>
      <x:c r="D57" s="3" t="str">
        <x:v>Интерьер</x:v>
      </x:c>
      <x:c r="E57" s="3" t="str">
        <x:v>Показывает долгую биографию семьи</x:v>
      </x:c>
      <x:c r="F57" s="3" t="str">
        <x:v>Вымышленная деревня верховьев Ии, Арская модель</x:v>
      </x:c>
      <x:c r="G57" s="3" t="str">
        <x:v>2015 ±1, производственный ориентир</x:v>
      </x:c>
      <x:c r="H57" s="3" t="str">
        <x:v>H01</x:v>
      </x:c>
      <x:c r="I57" s="3" t="str">
        <x:v>Небольшой диаскоп/кукла только после отдельного выбора, не обязательный атрибут</x:v>
      </x:c>
      <x:c r="J57" s="3" t="str">
        <x:v>См. dimensions.csv; иначе конкретный размер не установлен и назначается проектом</x:v>
      </x:c>
      <x:c r="K57" s="3" t="str">
        <x:v>Пластик/ткань по предмету</x:v>
      </x:c>
      <x:c r="L57" s="3" t="str">
        <x:v>Тон назначать под освещение; не извлекать точный RGB из референса</x:v>
      </x:c>
      <x:c r="M57" s="3" t="str">
        <x:v>Небольшой диаскоп/кукла только после отдельного выбора, не обязательный атрибут</x:v>
      </x:c>
      <x:c r="N57" s="3" t="str">
        <x:v>Полка серванта H01, не у всех жителей</x:v>
      </x:c>
      <x:c r="O57" s="3" t="str">
        <x:v>Альбом, семейная посуда</x:v>
      </x:c>
      <x:c r="P57" s="3" t="str">
        <x:v>Берегущийся предмет может быть мало изношен</x:v>
      </x:c>
      <x:c r="Q57" s="3" t="str">
        <x:v>См. сезонный атлас и паспорт сцены</x:v>
      </x:c>
      <x:c r="R57" s="3" t="str">
        <x:v>Ручное перекладывание</x:v>
      </x:c>
      <x:c r="S57" s="3" t="str">
        <x:v>Предложено для игры</x:v>
      </x:c>
      <x:c r="T57" s="3" t="str">
        <x:v>["C038", "C032"]</x:v>
      </x:c>
      <x:c r="U57" s="3" t="str">
        <x:v>["S013"]</x:v>
      </x:c>
      <x:c r="V57" s="3" t="str">
        <x:v>[]</x:v>
      </x:c>
      <x:c r="W57" s="3" t="str">
        <x:v>P2</x:v>
      </x:c>
      <x:c r="X57" s="3" t="str">
        <x:v>Не выдавать предложенную комбинацию и размеры за обследованный типичный объект</x:v>
      </x:c>
      <x:c r="Y57" s="3" t="str">
        <x:v>https://historicalethnology.org/news/2024-t9-n2-4/</x:v>
      </x:c>
    </x:row>
  </x:sheetData>
  <x:conditionalFormatting sqref="S2:S57">
    <x:cfRule type="expression" dxfId="6" priority="1">
      <x:formula>S2="Предложено для игры"</x:formula>
    </x:cfRule>
    <x:cfRule type="expression" dxfId="7" priority="2">
      <x:formula>S2="Не установлено"</x:formula>
    </x:cfRule>
  </x:conditionalFormatting>
  <x:dataValidations count="1">
    <x:dataValidation type="list" sqref="S2:S57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e680e0c09411b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40" hidden="0" customWidth="1"/>
    <x:col min="3" max="3" width="34" hidden="0" customWidth="1"/>
    <x:col min="4" max="4" width="34" hidden="0" customWidth="1"/>
    <x:col min="5" max="5" width="23" hidden="0" customWidth="1"/>
    <x:col min="6" max="6" width="23" hidden="0" customWidth="1"/>
    <x:col min="7" max="7" width="23" hidden="0" customWidth="1"/>
    <x:col min="8" max="8" width="40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40" hidden="0" customWidth="1"/>
    <x:col min="16" max="16" width="40" hidden="0" customWidth="1"/>
  </x:cols>
  <x:sheetData>
    <x:row r="1" ht="42" customHeight="1">
      <x:c r="A1" s="8" t="str">
        <x:v>plant_id</x:v>
      </x:c>
      <x:c r="B1" s="8" t="str">
        <x:v>name_ru</x:v>
      </x:c>
      <x:c r="C1" s="8" t="str">
        <x:v>taxon</x:v>
      </x:c>
      <x:c r="D1" s="8" t="str">
        <x:v>identification_confidence</x:v>
      </x:c>
      <x:c r="E1" s="8" t="str">
        <x:v>evidence_status</x:v>
      </x:c>
      <x:c r="F1" s="8" t="str">
        <x:v>source_ids</x:v>
      </x:c>
      <x:c r="G1" s="8" t="str">
        <x:v>visual_ids</x:v>
      </x:c>
      <x:c r="H1" s="8" t="str">
        <x:v>scope</x:v>
      </x:c>
      <x:c r="I1" s="8" t="str">
        <x:v>appearance</x:v>
      </x:c>
      <x:c r="J1" s="8" t="str">
        <x:v>seasonal_stages</x:v>
      </x:c>
      <x:c r="K1" s="8" t="str">
        <x:v>placement</x:v>
      </x:c>
      <x:c r="L1" s="8" t="str">
        <x:v>observed_adult_height_m</x:v>
      </x:c>
      <x:c r="M1" s="8" t="str">
        <x:v>proposed_game_height_m</x:v>
      </x:c>
      <x:c r="N1" s="8" t="str">
        <x:v>height_status</x:v>
      </x:c>
      <x:c r="O1" s="8" t="str">
        <x:v>limits</x:v>
      </x:c>
      <x:c r="P1" s="8" t="str">
        <x:v>source_urls</x:v>
      </x:c>
    </x:row>
    <x:row r="2" ht="96" customHeight="1">
      <x:c r="A2" s="3" t="str">
        <x:v>P001</x:v>
      </x:c>
      <x:c r="B2" s="3" t="str">
        <x:v>Береза</x:v>
      </x:c>
      <x:c r="C2" s="3" t="str">
        <x:v>Betula sp.</x:v>
      </x:c>
      <x:c r="D2" s="3" t="str">
        <x:v>Род по изображению</x:v>
      </x:c>
      <x:c r="E2" s="3" t="str">
        <x:v>Наблюдается</x:v>
      </x:c>
      <x:c r="F2" s="3" t="str">
        <x:v>["S102"]</x:v>
      </x:c>
      <x:c r="G2" s="3" t="str">
        <x:v>["V002"]</x:v>
      </x:c>
      <x:c r="H2" s="3" t="str">
        <x:v>Берег водоема 15.07.2014</x:v>
      </x:c>
      <x:c r="I2" s="3" t="str">
        <x:v>Белый ствол с темными участками; мелкая листва</x:v>
      </x:c>
      <x:c r="J2" s="3" t="str">
        <x:v>Листопадная крона; фактические даты распускания не установлены</x:v>
      </x:c>
      <x:c r="K2" s="3" t="str">
        <x:v>Береговая группа</x:v>
      </x:c>
      <x:c r="L2" s="3" t="str"/>
      <x:c r="M2" s="3" t="n">
        <x:v>12</x:v>
      </x:c>
      <x:c r="N2" s="3" t="str">
        <x:v>Предложено для игры</x:v>
      </x:c>
      <x:c r="O2" s="3" t="str">
        <x:v>Не назначать вид pendula/pubescens без дополнительных признаков</x:v>
      </x:c>
      <x:c r="P2" s="3" t="str">
        <x:v>https://commons.wikimedia.org/wiki/File:2014-07-15_14-02-02_Тукай-Кырлай.jpg</x:v>
      </x:c>
    </x:row>
    <x:row r="3" ht="96" customHeight="1">
      <x:c r="A3" s="3" t="str">
        <x:v>P002</x:v>
      </x:c>
      <x:c r="B3" s="3" t="str">
        <x:v>Ель</x:v>
      </x:c>
      <x:c r="C3" s="3" t="str">
        <x:v>Picea sp.</x:v>
      </x:c>
      <x:c r="D3" s="3" t="str">
        <x:v>Региональное указание рода</x:v>
      </x:c>
      <x:c r="E3" s="3" t="str">
        <x:v>Документировано</x:v>
      </x:c>
      <x:c r="F3" s="3" t="str">
        <x:v>["S017"]</x:v>
      </x:c>
      <x:c r="G3" s="3" t="str">
        <x:v>[]</x:v>
      </x:c>
      <x:c r="H3" s="3" t="str">
        <x:v>Арский район, не конкретный двор</x:v>
      </x:c>
      <x:c r="I3" s="3" t="str">
        <x:v>Коническая хвойная масса, нижние ветви по освещенности</x:v>
      </x:c>
      <x:c r="J3" s="3" t="str">
        <x:v>Хвоя зимой; снег на ветвях зависит от эпизода</x:v>
      </x:c>
      <x:c r="K3" s="3" t="str">
        <x:v>Лесной фрагмент</x:v>
      </x:c>
      <x:c r="L3" s="3" t="str"/>
      <x:c r="M3" s="3" t="n">
        <x:v>16</x:v>
      </x:c>
      <x:c r="N3" s="3" t="str">
        <x:v>Предложено для игры</x:v>
      </x:c>
      <x:c r="O3" s="3" t="str">
        <x:v>Не переносить парковую аллею музея в естественный лес без изменения структуры</x:v>
      </x:c>
      <x:c r="P3" s="3" t="str">
        <x:v>https://tatarica.org/ru/razdely/municipalnye-obrazovaniya/municipalnye-rajony/arskij-rajon/arskij-rajon-1</x:v>
      </x:c>
    </x:row>
    <x:row r="4" ht="96" customHeight="1">
      <x:c r="A4" s="3" t="str">
        <x:v>P003</x:v>
      </x:c>
      <x:c r="B4" s="3" t="str">
        <x:v>Сосна</x:v>
      </x:c>
      <x:c r="C4" s="3" t="str">
        <x:v>Pinus sp.</x:v>
      </x:c>
      <x:c r="D4" s="3" t="str">
        <x:v>Региональное указание рода</x:v>
      </x:c>
      <x:c r="E4" s="3" t="str">
        <x:v>Документировано</x:v>
      </x:c>
      <x:c r="F4" s="3" t="str">
        <x:v>["S017"]</x:v>
      </x:c>
      <x:c r="G4" s="3" t="str">
        <x:v>[]</x:v>
      </x:c>
      <x:c r="H4" s="3" t="str">
        <x:v>Районный лес</x:v>
      </x:c>
      <x:c r="I4" s="3" t="str">
        <x:v>Открытая крона зрелого дерева; стволы разной освещенности</x:v>
      </x:c>
      <x:c r="J4" s="3" t="str">
        <x:v>Вечнозеленая основа; отдельная сезонность подлеска</x:v>
      </x:c>
      <x:c r="K4" s="3" t="str">
        <x:v>Более сухой участок как проект</x:v>
      </x:c>
      <x:c r="L4" s="3" t="str"/>
      <x:c r="M4" s="3" t="n">
        <x:v>18</x:v>
      </x:c>
      <x:c r="N4" s="3" t="str">
        <x:v>Предложено для игры</x:v>
      </x:c>
      <x:c r="O4" s="3" t="str">
        <x:v>Тип почвы и конкретное сообщество требуют проверки</x:v>
      </x:c>
      <x:c r="P4" s="3" t="str">
        <x:v>https://tatarica.org/ru/razdely/municipalnye-obrazovaniya/municipalnye-rajony/arskij-rajon/arskij-rajon-1</x:v>
      </x:c>
    </x:row>
    <x:row r="5" ht="96" customHeight="1">
      <x:c r="A5" s="3" t="str">
        <x:v>P004</x:v>
      </x:c>
      <x:c r="B5" s="3" t="str">
        <x:v>Липа</x:v>
      </x:c>
      <x:c r="C5" s="3" t="str">
        <x:v>Tilia sp.</x:v>
      </x:c>
      <x:c r="D5" s="3" t="str">
        <x:v>Род в региональном описании</x:v>
      </x:c>
      <x:c r="E5" s="3" t="str">
        <x:v>Документировано</x:v>
      </x:c>
      <x:c r="F5" s="3" t="str">
        <x:v>["S017"]</x:v>
      </x:c>
      <x:c r="G5" s="3" t="str">
        <x:v>[]</x:v>
      </x:c>
      <x:c r="H5" s="3" t="str">
        <x:v>Районные леса</x:v>
      </x:c>
      <x:c r="I5" s="3" t="str">
        <x:v>Широколиственная крона</x:v>
      </x:c>
      <x:c r="J5" s="3" t="str">
        <x:v>Листопадное состояние зимой; сроки не зафиксированы</x:v>
      </x:c>
      <x:c r="K5" s="3" t="str">
        <x:v>Смешанная древесная группа</x:v>
      </x:c>
      <x:c r="L5" s="3" t="str"/>
      <x:c r="M5" s="3" t="n">
        <x:v>14</x:v>
      </x:c>
      <x:c r="N5" s="3" t="str">
        <x:v>Предложено для игры</x:v>
      </x:c>
      <x:c r="O5" s="3" t="str">
        <x:v>Не назначать процент из лесничества конкретной роще</x:v>
      </x:c>
      <x:c r="P5" s="3" t="str">
        <x:v>https://tatarica.org/ru/razdely/municipalnye-obrazovaniya/municipalnye-rajony/arskij-rajon/arskij-rajon-1</x:v>
      </x:c>
    </x:row>
    <x:row r="6" ht="96" customHeight="1">
      <x:c r="A6" s="3" t="str">
        <x:v>P005</x:v>
      </x:c>
      <x:c r="B6" s="3" t="str">
        <x:v>Дуб</x:v>
      </x:c>
      <x:c r="C6" s="3" t="str">
        <x:v>Quercus sp.</x:v>
      </x:c>
      <x:c r="D6" s="3" t="str">
        <x:v>Род в региональном описании</x:v>
      </x:c>
      <x:c r="E6" s="3" t="str">
        <x:v>Документировано</x:v>
      </x:c>
      <x:c r="F6" s="3" t="str">
        <x:v>["S017"]</x:v>
      </x:c>
      <x:c r="G6" s="3" t="str">
        <x:v>[]</x:v>
      </x:c>
      <x:c r="H6" s="3" t="str">
        <x:v>Арский район</x:v>
      </x:c>
      <x:c r="I6" s="3" t="str">
        <x:v>Более тяжелая ветвистая масса</x:v>
      </x:c>
      <x:c r="J6" s="3" t="str">
        <x:v>Листопадность; не синхронизировать распускание с березой по одному параметру</x:v>
      </x:c>
      <x:c r="K6" s="3" t="str">
        <x:v>Отдельная широколиственная группа</x:v>
      </x:c>
      <x:c r="L6" s="3" t="str"/>
      <x:c r="M6" s="3" t="n">
        <x:v>16</x:v>
      </x:c>
      <x:c r="N6" s="3" t="str">
        <x:v>Предложено для игры</x:v>
      </x:c>
      <x:c r="O6" s="3" t="str">
        <x:v>Не все деревья должны быть вековыми великанами</x:v>
      </x:c>
      <x:c r="P6" s="3" t="str">
        <x:v>https://tatarica.org/ru/razdely/municipalnye-obrazovaniya/municipalnye-rajony/arskij-rajon/arskij-rajon-1</x:v>
      </x:c>
    </x:row>
    <x:row r="7" ht="96" customHeight="1">
      <x:c r="A7" s="3" t="str">
        <x:v>P006</x:v>
      </x:c>
      <x:c r="B7" s="3" t="str">
        <x:v>Осина</x:v>
      </x:c>
      <x:c r="C7" s="3" t="str">
        <x:v>Populus tremula как кандидат к региональному названию</x:v>
      </x:c>
      <x:c r="D7" s="3" t="str">
        <x:v>Название породы в региональном тексте; вид на кадре не определен</x:v>
      </x:c>
      <x:c r="E7" s="3" t="str">
        <x:v>Документировано</x:v>
      </x:c>
      <x:c r="F7" s="3" t="str">
        <x:v>["S027"]</x:v>
      </x:c>
      <x:c r="G7" s="3" t="str">
        <x:v>[]</x:v>
      </x:c>
      <x:c r="H7" s="3" t="str">
        <x:v>Более широкий сравнительный лесной регион</x:v>
      </x:c>
      <x:c r="I7" s="3" t="str">
        <x:v>Лиственное дерево; фактический локальный вид требует проверки</x:v>
      </x:c>
      <x:c r="J7" s="3" t="str">
        <x:v>Сезонность проектируется отдельно от хвойных</x:v>
      </x:c>
      <x:c r="K7" s="3" t="str">
        <x:v>Лесная группа только после уточнения</x:v>
      </x:c>
      <x:c r="L7" s="3" t="str"/>
      <x:c r="M7" s="3" t="n">
        <x:v>14</x:v>
      </x:c>
      <x:c r="N7" s="3" t="str">
        <x:v>Предложено для игры</x:v>
      </x:c>
      <x:c r="O7" s="3" t="str">
        <x:v>Не утверждать присутствие на V002</x:v>
      </x:c>
      <x:c r="P7" s="3" t="str">
        <x:v>https://tatarica.org/ru/razdely/priroda/poleznye-iskopaemye/sabinskoe-lesnichestvo</x:v>
      </x:c>
    </x:row>
    <x:row r="8" ht="96" customHeight="1">
      <x:c r="A8" s="3" t="str">
        <x:v>P007</x:v>
      </x:c>
      <x:c r="B8" s="3" t="str">
        <x:v>Луговые и придорожные травы</x:v>
      </x:c>
      <x:c r="C8" s="3" t="str"/>
      <x:c r="D8" s="3" t="str">
        <x:v>Жизненная форма</x:v>
      </x:c>
      <x:c r="E8" s="3" t="str">
        <x:v>Наблюдается</x:v>
      </x:c>
      <x:c r="F8" s="3" t="str">
        <x:v>["S101", "S102"]</x:v>
      </x:c>
      <x:c r="G8" s="3" t="str">
        <x:v>["V001", "V002"]</x:v>
      </x:c>
      <x:c r="H8" s="3" t="str">
        <x:v>Обочина и берег на отдельных фото</x:v>
      </x:c>
      <x:c r="I8" s="3" t="str">
        <x:v>Смешанная высота, не один газонный материал</x:v>
      </x:c>
      <x:c r="J8" s="3" t="str">
        <x:v>Снег/сухие остатки/молодая трава/летняя масса — разные состояния</x:v>
      </x:c>
      <x:c r="K8" s="3" t="str">
        <x:v>Обочина, канава, берег</x:v>
      </x:c>
      <x:c r="L8" s="3" t="str"/>
      <x:c r="M8" s="3" t="n">
        <x:v>0.45</x:v>
      </x:c>
      <x:c r="N8" s="3" t="str">
        <x:v>Предложено для игры</x:v>
      </x:c>
      <x:c r="O8" s="3" t="str">
        <x:v>Состав трав не установлен; не подписывать виды по дальнему плану</x:v>
      </x:c>
      <x:c r="P8" s="3" t="str">
        <x:v>https://commons.wikimedia.org/wiki/File:New_Kyrlai_(2021-04-26)_01.jpg
https://commons.wikimedia.org/wiki/File:2014-07-15_14-02-02_Тукай-Кырлай.jpg</x:v>
      </x:c>
    </x:row>
    <x:row r="9" ht="96" customHeight="1">
      <x:c r="A9" s="3" t="str">
        <x:v>P008</x:v>
      </x:c>
      <x:c r="B9" s="3" t="str">
        <x:v>Кустарник палисадника</x:v>
      </x:c>
      <x:c r="C9" s="3" t="str"/>
      <x:c r="D9" s="3" t="str">
        <x:v>Жизненная форма</x:v>
      </x:c>
      <x:c r="E9" s="3" t="str">
        <x:v>Наблюдается</x:v>
      </x:c>
      <x:c r="F9" s="3" t="str">
        <x:v>["S101"]</x:v>
      </x:c>
      <x:c r="G9" s="3" t="str">
        <x:v>["V001"]</x:v>
      </x:c>
      <x:c r="H9" s="3" t="str">
        <x:v>Растение без листьев на одном кадре</x:v>
      </x:c>
      <x:c r="I9" s="3" t="str">
        <x:v>Ветвистая масса за ограждением</x:v>
      </x:c>
      <x:c r="J9" s="3" t="str">
        <x:v>Зимой просветов больше; цветение не назначено</x:v>
      </x:c>
      <x:c r="K9" s="3" t="str">
        <x:v>Перед фасадом</x:v>
      </x:c>
      <x:c r="L9" s="3" t="str"/>
      <x:c r="M9" s="3" t="n">
        <x:v>1.5</x:v>
      </x:c>
      <x:c r="N9" s="3" t="str">
        <x:v>Предложено для игры</x:v>
      </x:c>
      <x:c r="O9" s="3" t="str">
        <x:v>Не называть сиренью без проверки</x:v>
      </x:c>
      <x:c r="P9" s="3" t="str">
        <x:v>https://commons.wikimedia.org/wiki/File:New_Kyrlai_(2021-04-26)_01.jpg</x:v>
      </x:c>
    </x:row>
    <x:row r="10" ht="96" customHeight="1">
      <x:c r="A10" s="3" t="str">
        <x:v>P009</x:v>
      </x:c>
      <x:c r="B10" s="3" t="str">
        <x:v>Садовые цветы-кандидаты</x:v>
      </x:c>
      <x:c r="C10" s="3" t="str"/>
      <x:c r="D10" s="3" t="str">
        <x:v>Вид не установлен</x:v>
      </x:c>
      <x:c r="E10" s="3" t="str">
        <x:v>Предложено для игры</x:v>
      </x:c>
      <x:c r="F10" s="3" t="str">
        <x:v>[]</x:v>
      </x:c>
      <x:c r="G10" s="3" t="str">
        <x:v>[]</x:v>
      </x:c>
      <x:c r="H10" s="3" t="str">
        <x:v>H02, только авторский комплект</x:v>
      </x:c>
      <x:c r="I10" s="3" t="str">
        <x:v>Низкая полоса и отдельные более высокие акценты</x:v>
      </x:c>
      <x:c r="J10" s="3" t="str">
        <x:v>Планировать одну фазу цветения, не все лето сразу</x:v>
      </x:c>
      <x:c r="K10" s="3" t="str">
        <x:v>Палисадник</x:v>
      </x:c>
      <x:c r="L10" s="3" t="str"/>
      <x:c r="M10" s="3" t="n">
        <x:v>0.4</x:v>
      </x:c>
      <x:c r="N10" s="3" t="str">
        <x:v>Предложено для игры</x:v>
      </x:c>
      <x:c r="O10" s="3" t="str">
        <x:v>Петуния/георгин/флокс не считаются доказанными для этого хозяйства</x:v>
      </x:c>
      <x:c r="P10" s="3" t="str"/>
    </x:row>
    <x:row r="11" ht="96" customHeight="1">
      <x:c r="A11" s="3" t="str">
        <x:v>P010</x:v>
      </x:c>
      <x:c r="B11" s="3" t="str">
        <x:v>Плодовое дерево-кандидат</x:v>
      </x:c>
      <x:c r="C11" s="3" t="str"/>
      <x:c r="D11" s="3" t="str">
        <x:v>Не определено для основной деревни</x:v>
      </x:c>
      <x:c r="E11" s="3" t="str">
        <x:v>Предложено для игры</x:v>
      </x:c>
      <x:c r="F11" s="3" t="str">
        <x:v>["S013"]</x:v>
      </x:c>
      <x:c r="G11" s="3" t="str">
        <x:v>[]</x:v>
      </x:c>
      <x:c r="H11" s="3" t="str">
        <x:v>H03; исторические яблоки в другом локальном материале не доказательство</x:v>
      </x:c>
      <x:c r="I11" s="3" t="str">
        <x:v>Невысокая обслуживаемая крона как проект</x:v>
      </x:c>
      <x:c r="J11" s="3" t="str">
        <x:v>Плодоношение только в выбранном сезонном состоянии</x:v>
      </x:c>
      <x:c r="K11" s="3" t="str">
        <x:v>Сад за домом</x:v>
      </x:c>
      <x:c r="L11" s="3" t="str"/>
      <x:c r="M11" s="3" t="n">
        <x:v>3</x:v>
      </x:c>
      <x:c r="N11" s="3" t="str">
        <x:v>Предложено для игры</x:v>
      </x:c>
      <x:c r="O11" s="3" t="str">
        <x:v>Не приписывать каждому дереву одинаковые спелые яблоки весь год</x:v>
      </x:c>
      <x:c r="P11" s="3" t="str">
        <x:v>https://historicalethnology.org/news/2024-t9-n2-4/</x:v>
      </x:c>
    </x:row>
    <x:row r="12" ht="96" customHeight="1">
      <x:c r="A12" s="3" t="str">
        <x:v>P011</x:v>
      </x:c>
      <x:c r="B12" s="3" t="str">
        <x:v>«Герань» как комнатное название</x:v>
      </x:c>
      <x:c r="C12" s="3" t="str"/>
      <x:c r="D12" s="3" t="str">
        <x:v>Бытовой фитоним; ботаническая идентификация не выполнена</x:v>
      </x:c>
      <x:c r="E12" s="3" t="str">
        <x:v>Документировано</x:v>
      </x:c>
      <x:c r="F12" s="3" t="str">
        <x:v>["S012"]</x:v>
      </x:c>
      <x:c r="G12" s="3" t="str">
        <x:v>[]</x:v>
      </x:c>
      <x:c r="H12" s="3" t="str">
        <x:v>Исторический альметьевский интерьер</x:v>
      </x:c>
      <x:c r="I12" s="3" t="str">
        <x:v>Комнатное растение; по источнику без надежного видового определения</x:v>
      </x:c>
      <x:c r="J12" s="3" t="str">
        <x:v>Внутри дома режим иной, чем уличная фенология</x:v>
      </x:c>
      <x:c r="K12" s="3" t="str">
        <x:v>Подоконник H01 как предлагаемое сохранение</x:v>
      </x:c>
      <x:c r="L12" s="3" t="str"/>
      <x:c r="M12" s="3" t="n">
        <x:v>0.35</x:v>
      </x:c>
      <x:c r="N12" s="3" t="str">
        <x:v>Предложено для игры</x:v>
      </x:c>
      <x:c r="O12" s="3" t="str">
        <x:v>Не выводить вид Pelargonium из одного бытового названия автоматически</x:v>
      </x:c>
      <x:c r="P12" s="3" t="str">
        <x:v>https://almet-history.tatneft.ru/istoriya/traditsionnaya-kultura/remesla-i-narodnoe-iskusstvo/d-k/interer?lang=ru</x:v>
      </x:c>
    </x:row>
    <x:row r="13" ht="96" customHeight="1">
      <x:c r="A13" s="3" t="str">
        <x:v>P012</x:v>
      </x:c>
      <x:c r="B13" s="3" t="str">
        <x:v>Фикус</x:v>
      </x:c>
      <x:c r="C13" s="3" t="str">
        <x:v>Ficus sp.</x:v>
      </x:c>
      <x:c r="D13" s="3" t="str">
        <x:v>Род по письменному источнику</x:v>
      </x:c>
      <x:c r="E13" s="3" t="str">
        <x:v>Документировано</x:v>
      </x:c>
      <x:c r="F13" s="3" t="str">
        <x:v>["S012"]</x:v>
      </x:c>
      <x:c r="G13" s="3" t="str">
        <x:v>[]</x:v>
      </x:c>
      <x:c r="H13" s="3" t="str">
        <x:v>Исторический локальный интерьер</x:v>
      </x:c>
      <x:c r="I13" s="3" t="str">
        <x:v>Крупнолистное комнатное растение-кандидат</x:v>
      </x:c>
      <x:c r="J13" s="3" t="str">
        <x:v>Не переносится на улицу зимой</x:v>
      </x:c>
      <x:c r="K13" s="3" t="str">
        <x:v>Светлая часть H01 как предложение</x:v>
      </x:c>
      <x:c r="L13" s="3" t="str"/>
      <x:c r="M13" s="3" t="n">
        <x:v>1.2</x:v>
      </x:c>
      <x:c r="N13" s="3" t="str">
        <x:v>Предложено для игры</x:v>
      </x:c>
      <x:c r="O13" s="3" t="str">
        <x:v>Современное присутствие в Кырлае не установлено</x:v>
      </x:c>
      <x:c r="P13" s="3" t="str">
        <x:v>https://almet-history.tatneft.ru/istoriya/traditsionnaya-kultura/remesla-i-narodnoe-iskusstvo/d-k/interer?lang=ru</x:v>
      </x:c>
    </x:row>
  </x:sheetData>
  <x:conditionalFormatting sqref="E2:E13">
    <x:cfRule type="expression" dxfId="8" priority="1">
      <x:formula>E2="Предложено для игры"</x:formula>
    </x:cfRule>
    <x:cfRule type="expression" dxfId="9" priority="2">
      <x:formula>E2="Не установлено"</x:formula>
    </x:cfRule>
  </x:conditionalFormatting>
  <x:dataValidations count="1">
    <x:dataValidation type="list" sqref="E2:E13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59e9979d243dd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3" hidden="0" customWidth="1"/>
    <x:col min="11" max="11" width="34" hidden="0" customWidth="1"/>
  </x:cols>
  <x:sheetData>
    <x:row r="1" ht="42" customHeight="1">
      <x:c r="A1" s="8" t="str">
        <x:v>season_id</x:v>
      </x:c>
      <x:c r="B1" s="8" t="str">
        <x:v>name</x:v>
      </x:c>
      <x:c r="C1" s="8" t="str">
        <x:v>time_window</x:v>
      </x:c>
      <x:c r="D1" s="8" t="str">
        <x:v>evidence_status</x:v>
      </x:c>
      <x:c r="E1" s="8" t="str">
        <x:v>road_and_verge</x:v>
      </x:c>
      <x:c r="F1" s="8" t="str">
        <x:v>water</x:v>
      </x:c>
      <x:c r="G1" s="8" t="str">
        <x:v>vegetation</x:v>
      </x:c>
      <x:c r="H1" s="8" t="str">
        <x:v>household_activity</x:v>
      </x:c>
      <x:c r="I1" s="8" t="str">
        <x:v>sound</x:v>
      </x:c>
      <x:c r="J1" s="8" t="str">
        <x:v>visual_ids</x:v>
      </x:c>
      <x:c r="K1" s="8" t="str">
        <x:v>limitation</x:v>
      </x:c>
    </x:row>
    <x:row r="2" ht="96" customHeight="1">
      <x:c r="A2" s="3" t="str">
        <x:v>SE01</x:v>
      </x:c>
      <x:c r="B2" s="3" t="str">
        <x:v>Снеготаяние</x:v>
      </x:c>
      <x:c r="C2" s="3" t="str">
        <x:v>Конец зимы/весна, не фиксированный день</x:v>
      </x:c>
      <x:c r="D2" s="3" t="str">
        <x:v>Предложено для игры</x:v>
      </x:c>
      <x:c r="E2" s="3" t="str">
        <x:v>Оголяется проезд; снежные борта сохраняются в тени; мокрый край</x:v>
      </x:c>
      <x:c r="F2" s="3" t="str">
        <x:v>Усиленный сток; грязные ледяные перемычки не везде</x:v>
      </x:c>
      <x:c r="G2" s="3" t="str">
        <x:v>Голые ветви и прошлогодняя трава</x:v>
      </x:c>
      <x:c r="H2" s="3" t="str">
        <x:v>Очистка прохода и проверка воды; резиновая обувь по необходимости</x:v>
      </x:c>
      <x:c r="I2" s="3" t="str">
        <x:v>Капли, вода, мокрые шаги; без летних насекомых</x:v>
      </x:c>
      <x:c r="J2" s="3" t="str">
        <x:v>["V001", "V016"]</x:v>
      </x:c>
      <x:c r="K2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3" ht="96" customHeight="1">
      <x:c r="A3" s="3" t="str">
        <x:v>SE02</x:v>
      </x:c>
      <x:c r="B3" s="3" t="str">
        <x:v>Весенняя распутица</x:v>
      </x:c>
      <x:c r="C3" s="3" t="str">
        <x:v>После схода основной массы снега</x:v>
      </x:c>
      <x:c r="D3" s="3" t="str">
        <x:v>Предложено для игры</x:v>
      </x:c>
      <x:c r="E3" s="3" t="str">
        <x:v>Грунтовый проезд и твердая дорога реагируют по-разному</x:v>
      </x:c>
      <x:c r="F3" s="3" t="str">
        <x:v>Лужи в понижениях, не на вершине гряды</x:v>
      </x:c>
      <x:c r="G3" s="3" t="str">
        <x:v>Молодая трава перемежается с прошлогодней</x:v>
      </x:c>
      <x:c r="H3" s="3" t="str">
        <x:v>Подсыпка съезда, перенос инвентаря к сухому входу</x:v>
      </x:c>
      <x:c r="I3" s="3" t="str">
        <x:v>Вязкий шаг, вода в канаве; не постоянный грозовой ливень</x:v>
      </x:c>
      <x:c r="J3" s="3" t="str">
        <x:v>["V001"]</x:v>
      </x:c>
      <x:c r="K3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4" ht="96" customHeight="1">
      <x:c r="A4" s="3" t="str">
        <x:v>SE03</x:v>
      </x:c>
      <x:c r="B4" s="3" t="str">
        <x:v>Ранняя листва</x:v>
      </x:c>
      <x:c r="C4" s="3" t="str">
        <x:v>Весенний переход</x:v>
      </x:c>
      <x:c r="D4" s="3" t="str">
        <x:v>Предложено для игры</x:v>
      </x:c>
      <x:c r="E4" s="3" t="str">
        <x:v>Покрытие постепенно просыхает, сохраняются затененные мокрые места</x:v>
      </x:c>
      <x:c r="F4" s="3" t="str">
        <x:v>Расход воды меняется отдельно от появления листьев</x:v>
      </x:c>
      <x:c r="G4" s="3" t="str">
        <x:v>Не все породы распускаются одновременно</x:v>
      </x:c>
      <x:c r="H4" s="3" t="str">
        <x:v>Первые работы с почвой как выбранный эпизод</x:v>
      </x:c>
      <x:c r="I4" s="3" t="str">
        <x:v>Птицы после проверки сезона; без непрерывной летней ночной трели</x:v>
      </x:c>
      <x:c r="J4" s="3" t="str">
        <x:v>[]</x:v>
      </x:c>
      <x:c r="K4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5" ht="96" customHeight="1">
      <x:c r="A5" s="3" t="str">
        <x:v>SE04</x:v>
      </x:c>
      <x:c r="B5" s="3" t="str">
        <x:v>Начало лета</x:v>
      </x:c>
      <x:c r="C5" s="3" t="str">
        <x:v>Выбранный раннелетний эпизод</x:v>
      </x:c>
      <x:c r="D5" s="3" t="str">
        <x:v>Предложено для игры</x:v>
      </x:c>
      <x:c r="E5" s="3" t="str">
        <x:v>Сухой верх грунта или дождевой эпизод, но не оба равномерно</x:v>
      </x:c>
      <x:c r="F5" s="3" t="str">
        <x:v>Полив локальный, водоем не обязан быть прозрачным</x:v>
      </x:c>
      <x:c r="G5" s="3" t="str">
        <x:v>Свежая листовая масса, не осенние семена одновременно</x:v>
      </x:c>
      <x:c r="H5" s="3" t="str">
        <x:v>Косить отдельные зоны, сушить белье при подходящей погоде</x:v>
      </x:c>
      <x:c r="I5" s="3" t="str">
        <x:v>Разговоры, легкий ветер, редкие работы во дворе</x:v>
      </x:c>
      <x:c r="J5" s="3" t="str">
        <x:v>[]</x:v>
      </x:c>
      <x:c r="K5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6" ht="96" customHeight="1">
      <x:c r="A6" s="3" t="str">
        <x:v>SE05</x:v>
      </x:c>
      <x:c r="B6" s="3" t="str">
        <x:v>Середина/позднее лето</x:v>
      </x:c>
      <x:c r="C6" s="3" t="str">
        <x:v>Основной художественный сезон</x:v>
      </x:c>
      <x:c r="D6" s="3" t="str">
        <x:v>Предложено для игры</x:v>
      </x:c>
      <x:c r="E6" s="3" t="str">
        <x:v>Пыль на сухих участках; после дождя иной вариант</x:v>
      </x:c>
      <x:c r="F6" s="3" t="str">
        <x:v>Спокойная поверхность возможна без быстрого течения</x:v>
      </x:c>
      <x:c r="G6" s="3" t="str">
        <x:v>Плотная листва; видимость двора через растения ниже</x:v>
      </x:c>
      <x:c r="H6" s="3" t="str">
        <x:v>Полив, отдых у открытого окна, работа в огороде</x:v>
      </x:c>
      <x:c r="I6" s="3" t="str">
        <x:v>Листва, птицы по времени суток, насекомые как проверяемый кандидат</x:v>
      </x:c>
      <x:c r="J6" s="3" t="str">
        <x:v>["V002"]</x:v>
      </x:c>
      <x:c r="K6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7" ht="96" customHeight="1">
      <x:c r="A7" s="3" t="str">
        <x:v>SE06</x:v>
      </x:c>
      <x:c r="B7" s="3" t="str">
        <x:v>Уборка урожая</x:v>
      </x:c>
      <x:c r="C7" s="3" t="str">
        <x:v>Позднее лето/ранняя осень, по культуре</x:v>
      </x:c>
      <x:c r="D7" s="3" t="str">
        <x:v>Предложено для игры</x:v>
      </x:c>
      <x:c r="E7" s="3" t="str">
        <x:v>Часть хозяйственных маршрутов активнее</x:v>
      </x:c>
      <x:c r="F7" s="3" t="str">
        <x:v>Шланги и емкости перемещаются по работе</x:v>
      </x:c>
      <x:c r="G7" s="3" t="str">
        <x:v>Грядки убраны не одновременно</x:v>
      </x:c>
      <x:c r="H7" s="3" t="str">
        <x:v>Ящики, мешки и сортировка в сухом месте; не постоянная гора овощей</x:v>
      </x:c>
      <x:c r="I7" s="3" t="str">
        <x:v>Ведро, ящики, шаги, редкий транспорт</x:v>
      </x:c>
      <x:c r="J7" s="3" t="str">
        <x:v>[]</x:v>
      </x:c>
      <x:c r="K7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8" ht="96" customHeight="1">
      <x:c r="A8" s="3" t="str">
        <x:v>SE07</x:v>
      </x:c>
      <x:c r="B8" s="3" t="str">
        <x:v>Поздняя осень</x:v>
      </x:c>
      <x:c r="C8" s="3" t="str">
        <x:v>После значительного листопада</x:v>
      </x:c>
      <x:c r="D8" s="3" t="str">
        <x:v>Предложено для игры</x:v>
      </x:c>
      <x:c r="E8" s="3" t="str">
        <x:v>Листья скапливаются у ограды; тропа может быть очищена</x:v>
      </x:c>
      <x:c r="F8" s="3" t="str">
        <x:v>Канаву очищают как возможный конкретный эпизод</x:v>
      </x:c>
      <x:c r="G8" s="3" t="str">
        <x:v>Лиственные кроны разрежены; хвойные сохраняют массу</x:v>
      </x:c>
      <x:c r="H8" s="3" t="str">
        <x:v>Уборка части летнего инвентаря, теплые слои одежды</x:v>
      </x:c>
      <x:c r="I8" s="3" t="str">
        <x:v>Ветер, сухие/мокрые листья; не летний насекомый хор</x:v>
      </x:c>
      <x:c r="J8" s="3" t="str">
        <x:v>["V015"]</x:v>
      </x:c>
      <x:c r="K8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9" ht="96" customHeight="1">
      <x:c r="A9" s="3" t="str">
        <x:v>SE08</x:v>
      </x:c>
      <x:c r="B9" s="3" t="str">
        <x:v>Первый снег</x:v>
      </x:c>
      <x:c r="C9" s="3" t="str">
        <x:v>Кратковременный осенне-зимний эпизод</x:v>
      </x:c>
      <x:c r="D9" s="3" t="str">
        <x:v>Предложено для игры</x:v>
      </x:c>
      <x:c r="E9" s="3" t="str">
        <x:v>Тонкий неравномерный покров; трава выступает</x:v>
      </x:c>
      <x:c r="F9" s="3" t="str">
        <x:v>Вода еще может быть открытой</x:v>
      </x:c>
      <x:c r="G9" s="3" t="str">
        <x:v>Голые ветви без сплошной тяжелой снежной шапки</x:v>
      </x:c>
      <x:c r="H9" s="3" t="str">
        <x:v>Следы первых проходов; смена обуви</x:v>
      </x:c>
      <x:c r="I9" s="3" t="str">
        <x:v>Шаг по смешанному покрытию; снег не обязательно скрипит</x:v>
      </x:c>
      <x:c r="J9" s="3" t="str">
        <x:v>[]</x:v>
      </x:c>
      <x:c r="K9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10" ht="96" customHeight="1">
      <x:c r="A10" s="3" t="str">
        <x:v>SE09</x:v>
      </x:c>
      <x:c r="B10" s="3" t="str">
        <x:v>Устойчивая зима</x:v>
      </x:c>
      <x:c r="C10" s="3" t="str">
        <x:v>Проектный морозный период</x:v>
      </x:c>
      <x:c r="D10" s="3" t="str">
        <x:v>Предложено для игры</x:v>
      </x:c>
      <x:c r="E10" s="3" t="str">
        <x:v>Расчищенный проезд, борта после уборки; тропа к используемому сараю</x:v>
      </x:c>
      <x:c r="F10" s="3" t="str">
        <x:v>Замерзание не доказывает безопасную толщину льда</x:v>
      </x:c>
      <x:c r="G10" s="3" t="str">
        <x:v>Меньшая видимость листвы, хвойный экран сохраняется</x:v>
      </x:c>
      <x:c r="H10" s="3" t="str">
        <x:v>Дрова/отопление по типу дома, короткая работа снаружи</x:v>
      </x:c>
      <x:c r="I10" s="3" t="str">
        <x:v>Моторы и отдельные голоса; без полива, летних птиц и травяного шороха</x:v>
      </x:c>
      <x:c r="J10" s="3" t="str">
        <x:v>[]</x:v>
      </x:c>
      <x:c r="K10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  <x:row r="11" ht="96" customHeight="1">
      <x:c r="A11" s="3" t="str">
        <x:v>SE10</x:v>
      </x:c>
      <x:c r="B11" s="3" t="str">
        <x:v>Зимняя оттепель</x:v>
      </x:c>
      <x:c r="C11" s="3" t="str">
        <x:v>Отдельный погодный эпизод</x:v>
      </x:c>
      <x:c r="D11" s="3" t="str">
        <x:v>Предложено для игры</x:v>
      </x:c>
      <x:c r="E11" s="3" t="str">
        <x:v>Темнеющий снег, мокрые колеи, капли с крыши</x:v>
      </x:c>
      <x:c r="F11" s="3" t="str">
        <x:v>Вода на утоптанном снегу; последующее обледенение отдельно</x:v>
      </x:c>
      <x:c r="G11" s="3" t="str">
        <x:v>Ветви влажные; листва не возвращается</x:v>
      </x:c>
      <x:c r="H11" s="3" t="str">
        <x:v>Осторожное движение; уборка у входа</x:v>
      </x:c>
      <x:c r="I11" s="3" t="str">
        <x:v>Мокрый снег и капель вместо сухого морозного скрипа</x:v>
      </x:c>
      <x:c r="J11" s="3" t="str">
        <x:v>["V016"]</x:v>
      </x:c>
      <x:c r="K11" s="3" t="str">
        <x:v>Сравнительное производственное состояние, не повторная фотосъемка одного объекта; календарные даты не гарантируются</x:v>
      </x:c>
    </x:row>
  </x:sheetData>
  <x:conditionalFormatting sqref="D2:D11">
    <x:cfRule type="expression" dxfId="10" priority="1">
      <x:formula>D2="Предложено для игры"</x:formula>
    </x:cfRule>
    <x:cfRule type="expression" dxfId="11" priority="2">
      <x:formula>D2="Не установлено"</x:formula>
    </x:cfRule>
  </x:conditionalFormatting>
  <x:dataValidations count="1">
    <x:dataValidation type="list" sqref="D2:D11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2eea84bee4de9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23" hidden="0" customWidth="1"/>
    <x:col min="10" max="10" width="23" hidden="0" customWidth="1"/>
    <x:col min="11" max="11" width="34" hidden="0" customWidth="1"/>
    <x:col min="12" max="12" width="40" hidden="0" customWidth="1"/>
  </x:cols>
  <x:sheetData>
    <x:row r="1" ht="42" customHeight="1">
      <x:c r="A1" s="8" t="str">
        <x:v>chronology_id</x:v>
      </x:c>
      <x:c r="B1" s="8" t="str">
        <x:v>marker</x:v>
      </x:c>
      <x:c r="C1" s="8" t="str">
        <x:v>technology_appearance</x:v>
      </x:c>
      <x:c r="D1" s="8" t="str">
        <x:v>availability</x:v>
      </x:c>
      <x:c r="E1" s="8" t="str">
        <x:v>actual_presence_in_village</x:v>
      </x:c>
      <x:c r="F1" s="8" t="str">
        <x:v>period_2005_2010</x:v>
      </x:c>
      <x:c r="G1" s="8" t="str">
        <x:v>period_2011_2018</x:v>
      </x:c>
      <x:c r="H1" s="8" t="str">
        <x:v>period_2019_2026</x:v>
      </x:c>
      <x:c r="I1" s="8" t="str">
        <x:v>source_ids</x:v>
      </x:c>
      <x:c r="J1" s="8" t="str">
        <x:v>evidence_status</x:v>
      </x:c>
      <x:c r="K1" s="8" t="str">
        <x:v>incompatibilities</x:v>
      </x:c>
      <x:c r="L1" s="8" t="str">
        <x:v>source_urls</x:v>
      </x:c>
    </x:row>
    <x:row r="2" ht="96" customHeight="1">
      <x:c r="A2" s="3" t="str">
        <x:v>T001</x:v>
      </x:c>
      <x:c r="B2" s="3" t="str">
        <x:v>Окна</x:v>
      </x:c>
      <x:c r="C2" s="3" t="str">
        <x:v>Не установлена дата первой доступности конкретной модели</x:v>
      </x:c>
      <x:c r="D2" s="3" t="str">
        <x:v>Установлена только для дат старта каналов; для вещей не установлена</x:v>
      </x:c>
      <x:c r="E2" s="3" t="str">
        <x:v>Только явно указанная фотография/дата; в остальных случаях не установлено</x:v>
      </x:c>
      <x:c r="F2" s="3" t="str">
        <x:v>Сохраненная деревянная рама как предложение; частичная замена возможна лишь по биографии</x:v>
      </x:c>
      <x:c r="G2" s="3" t="str">
        <x:v>H02: часть рам заменена; старое обрамление не обязано исчезать</x:v>
      </x:c>
      <x:c r="H2" s="3" t="str">
        <x:v>V001 фиксирует позднее состояние фасада, но не год установки</x:v>
      </x:c>
      <x:c r="I2" s="3" t="str">
        <x:v>["S101"]</x:v>
      </x:c>
      <x:c r="J2" s="3" t="str">
        <x:v>Предложено для игры</x:v>
      </x:c>
      <x:c r="K2" s="3" t="str">
        <x:v>Вид рамы в 2021 не доказывает ее наличие в 2015</x:v>
      </x:c>
      <x:c r="L2" s="3" t="str">
        <x:v>https://commons.wikimedia.org/wiki/File:New_Kyrlai_(2021-04-26)_01.jpg</x:v>
      </x:c>
    </x:row>
    <x:row r="3" ht="96" customHeight="1">
      <x:c r="A3" s="3" t="str">
        <x:v>T002</x:v>
      </x:c>
      <x:c r="B3" s="3" t="str">
        <x:v>Кровля</x:v>
      </x:c>
      <x:c r="C3" s="3" t="str">
        <x:v>Тип конкретного профиля и дата выпуска не установлены</x:v>
      </x:c>
      <x:c r="D3" s="3" t="str">
        <x:v>Установлена только для дат старта каналов; для вещей не установлена</x:v>
      </x:c>
      <x:c r="E3" s="3" t="str">
        <x:v>Только явно указанная фотография/дата; в остальных случаях не установлено</x:v>
      </x:c>
      <x:c r="F3" s="3" t="str">
        <x:v>Старая кровля/ремонт выбираются по дому</x:v>
      </x:c>
      <x:c r="G3" s="3" t="str">
        <x:v>H02: выбран более новый лист на старом корпусе</x:v>
      </x:c>
      <x:c r="H3" s="3" t="str">
        <x:v>Современные кровли наблюдаются на V001 и дальнем плане V013</x:v>
      </x:c>
      <x:c r="I3" s="3" t="str">
        <x:v>["S101", "S113"]</x:v>
      </x:c>
      <x:c r="J3" s="3" t="str">
        <x:v>Предложено для игры</x:v>
      </x:c>
      <x:c r="K3" s="3" t="str">
        <x:v>Соломенная музейная крыша не норма жилой деревни 2005–2026</x:v>
      </x:c>
      <x:c r="L3" s="3" t="str">
        <x:v>https://commons.wikimedia.org/wiki/File:New_Kyrlai_(2021-04-26)_01.jpg
https://commons.wikimedia.org/wiki/File:Sagdi-aby_house_(2021-04-26)_25.jpg</x:v>
      </x:c>
    </x:row>
    <x:row r="4" ht="96" customHeight="1">
      <x:c r="A4" s="3" t="str">
        <x:v>T003</x:v>
      </x:c>
      <x:c r="B4" s="3" t="str">
        <x:v>Забор и ворота</x:v>
      </x:c>
      <x:c r="C4" s="3" t="str">
        <x:v>Дата распространения материалов не установлена</x:v>
      </x:c>
      <x:c r="D4" s="3" t="str">
        <x:v>Установлена только для дат старта каналов; для вещей не установлена</x:v>
      </x:c>
      <x:c r="E4" s="3" t="str">
        <x:v>Только явно указанная фотография/дата; в остальных случаях не установлено</x:v>
      </x:c>
      <x:c r="F4" s="3" t="str">
        <x:v>Нельзя объявить все заборы деревянными</x:v>
      </x:c>
      <x:c r="G4" s="3" t="str">
        <x:v>Смешанная улица — производственное решение</x:v>
      </x:c>
      <x:c r="H4" s="3" t="str">
        <x:v>V001: разные материалы в одном фронте</x:v>
      </x:c>
      <x:c r="I4" s="3" t="str">
        <x:v>["S101"]</x:v>
      </x:c>
      <x:c r="J4" s="3" t="str">
        <x:v>Предложено для игры</x:v>
      </x:c>
      <x:c r="K4" s="3" t="str">
        <x:v>Наличие материала не дает долю хозяйств</x:v>
      </x:c>
      <x:c r="L4" s="3" t="str">
        <x:v>https://commons.wikimedia.org/wiki/File:New_Kyrlai_(2021-04-26)_01.jpg</x:v>
      </x:c>
    </x:row>
    <x:row r="5" ht="96" customHeight="1">
      <x:c r="A5" s="3" t="str">
        <x:v>T004</x:v>
      </x:c>
      <x:c r="B5" s="3" t="str">
        <x:v>Отопление</x:v>
      </x:c>
      <x:c r="C5" s="3" t="str">
        <x:v>Даты подключения конкретных домов не установлены</x:v>
      </x:c>
      <x:c r="D5" s="3" t="str">
        <x:v>Установлена только для дат старта каналов; для вещей не установлена</x:v>
      </x:c>
      <x:c r="E5" s="3" t="str">
        <x:v>Только явно указанная фотография/дата; в остальных случаях не установлено</x:v>
      </x:c>
      <x:c r="F5" s="3" t="str">
        <x:v>H01 печное, другие решения требуют биографии</x:v>
      </x:c>
      <x:c r="G5" s="3" t="str">
        <x:v>H02 радиаторы и выбранный источник тепла; H01 сохраняет печь</x:v>
      </x:c>
      <x:c r="H5" s="3" t="str">
        <x:v>Не объявлять переход завершенным для всей деревни</x:v>
      </x:c>
      <x:c r="I5" s="3" t="str">
        <x:v>["S011", "S014"]</x:v>
      </x:c>
      <x:c r="J5" s="3" t="str">
        <x:v>Предложено для игры</x:v>
      </x:c>
      <x:c r="K5" s="3" t="str">
        <x:v>Печь, отопительный котел и банная печь имеют разные функции</x:v>
      </x:c>
      <x:c r="L5" s="3" t="str">
        <x:v>https://almet-history.tatneft.ru/istoriya/traditsionnaya-kultura/remesla-i-narodnoe-iskusstvo/d-k/zhilishche-narodnoe?lang=ru
https://historicalethnology.org/news/2024-t9-n2-10/</x:v>
      </x:c>
    </x:row>
    <x:row r="6" ht="96" customHeight="1">
      <x:c r="A6" s="3" t="str">
        <x:v>T005</x:v>
      </x:c>
      <x:c r="B6" s="3" t="str">
        <x:v>Вода и санитария</x:v>
      </x:c>
      <x:c r="C6" s="3" t="str">
        <x:v>Подключение дома не установлено</x:v>
      </x:c>
      <x:c r="D6" s="3" t="str">
        <x:v>Установлена только для дат старта каналов; для вещей не установлена</x:v>
      </x:c>
      <x:c r="E6" s="3" t="str">
        <x:v>Только явно указанная фотография/дата; в остальных случаях не установлено</x:v>
      </x:c>
      <x:c r="F6" s="3" t="str">
        <x:v>Решение от емкости до внутридомовой воды выбирается индивидуально</x:v>
      </x:c>
      <x:c r="G6" s="3" t="str">
        <x:v>H02 водопровод/отвод как явно условная система</x:v>
      </x:c>
      <x:c r="H6" s="3" t="str">
        <x:v>Исследование 2023 описывает неодновременные работы по воде</x:v>
      </x:c>
      <x:c r="I6" s="3" t="str">
        <x:v>["S014"]</x:v>
      </x:c>
      <x:c r="J6" s="3" t="str">
        <x:v>Предложено для игры</x:v>
      </x:c>
      <x:c r="K6" s="3" t="str">
        <x:v>Центральная сеть в селе не доказательство наличия раковины в доме</x:v>
      </x:c>
      <x:c r="L6" s="3" t="str">
        <x:v>https://historicalethnology.org/news/2024-t9-n2-10/</x:v>
      </x:c>
    </x:row>
    <x:row r="7" ht="96" customHeight="1">
      <x:c r="A7" s="3" t="str">
        <x:v>T006</x:v>
      </x:c>
      <x:c r="B7" s="3" t="str">
        <x:v>Телевизор</x:v>
      </x:c>
      <x:c r="C7" s="3" t="str">
        <x:v>Модель и год не установлены</x:v>
      </x:c>
      <x:c r="D7" s="3" t="str">
        <x:v>Установлена только для дат старта каналов; для вещей не установлена</x:v>
      </x:c>
      <x:c r="E7" s="3" t="str">
        <x:v>Только явно указанная фотография/дата; в остальных случаях не установлено</x:v>
      </x:c>
      <x:c r="F7" s="3" t="str">
        <x:v>Кинескопный или иной выбранный аппарат после проверки модели</x:v>
      </x:c>
      <x:c r="G7" s="3" t="str">
        <x:v>Можно старый телевизор и более новый телефон в одной семье</x:v>
      </x:c>
      <x:c r="H7" s="3" t="str">
        <x:v>Не переносить нынешние интерфейсы OTT назад</x:v>
      </x:c>
      <x:c r="I7" s="3" t="str">
        <x:v>["S036"]</x:v>
      </x:c>
      <x:c r="J7" s="3" t="str">
        <x:v>Предложено для игры</x:v>
      </x:c>
      <x:c r="K7" s="3" t="str">
        <x:v>Не определять год сцены только возрастом телевизора</x:v>
      </x:c>
      <x:c r="L7" s="3" t="str">
        <x:v>https://tnv.ru/about/</x:v>
      </x:c>
    </x:row>
    <x:row r="8" ht="96" customHeight="1">
      <x:c r="A8" s="3" t="str">
        <x:v>T007</x:v>
      </x:c>
      <x:c r="B8" s="3" t="str">
        <x:v>ТНВ-Татарстан</x:v>
      </x:c>
      <x:c r="C8" s="3" t="str">
        <x:v>Начало 26.08.2002 по вещателю</x:v>
      </x:c>
      <x:c r="D8" s="3" t="str">
        <x:v>Установлена только для дат старта каналов; для вещей не установлена</x:v>
      </x:c>
      <x:c r="E8" s="3" t="str">
        <x:v>Только явно указанная фотография/дата; в остальных случаях не установлено</x:v>
      </x:c>
      <x:c r="F8" s="3" t="str">
        <x:v>Хронологически доступен; прием дома не установлен</x:v>
      </x:c>
      <x:c r="G8" s="3" t="str">
        <x:v>Хронологически доступен; конкретный эфир требует архива</x:v>
      </x:c>
      <x:c r="H8" s="3" t="str">
        <x:v>Доступность конкретному дому по-прежнему не доказана</x:v>
      </x:c>
      <x:c r="I8" s="3" t="str">
        <x:v>["S036"]</x:v>
      </x:c>
      <x:c r="J8" s="3" t="str">
        <x:v>Документировано</x:v>
      </x:c>
      <x:c r="K8" s="3" t="str">
        <x:v>Современный логотип/графика эфира могут не соответствовать 2015</x:v>
      </x:c>
      <x:c r="L8" s="3" t="str">
        <x:v>https://tnv.ru/about/</x:v>
      </x:c>
    </x:row>
    <x:row r="9" ht="96" customHeight="1">
      <x:c r="A9" s="3" t="str">
        <x:v>T008</x:v>
      </x:c>
      <x:c r="B9" s="3" t="str">
        <x:v>ТНВ-Планета</x:v>
      </x:c>
      <x:c r="C9" s="3" t="str">
        <x:v>Начало 15.06.2012</x:v>
      </x:c>
      <x:c r="D9" s="3" t="str">
        <x:v>Установлена только для дат старта каналов; для вещей не установлена</x:v>
      </x:c>
      <x:c r="E9" s="3" t="str">
        <x:v>Только явно указанная фотография/дата; в остальных случаях не установлено</x:v>
      </x:c>
      <x:c r="F9" s="3" t="str">
        <x:v>Не использовать эфир канала до даты старта</x:v>
      </x:c>
      <x:c r="G9" s="3" t="str">
        <x:v>Возможен после запуска; прием и оборудование отдельно</x:v>
      </x:c>
      <x:c r="H9" s="3" t="str">
        <x:v>Хронологически доступен, не доказано фактическое смотрение</x:v>
      </x:c>
      <x:c r="I9" s="3" t="str">
        <x:v>["S036"]</x:v>
      </x:c>
      <x:c r="J9" s="3" t="str">
        <x:v>Документировано</x:v>
      </x:c>
      <x:c r="K9" s="3" t="str">
        <x:v>2011–2018 не однородный период для этого канала</x:v>
      </x:c>
      <x:c r="L9" s="3" t="str">
        <x:v>https://tnv.ru/about/</x:v>
      </x:c>
    </x:row>
    <x:row r="10" ht="96" customHeight="1">
      <x:c r="A10" s="3" t="str">
        <x:v>T009</x:v>
      </x:c>
      <x:c r="B10" s="3" t="str">
        <x:v>Шаян ТВ</x:v>
      </x:c>
      <x:c r="C10" s="3" t="str">
        <x:v>Начало 12.11.2018</x:v>
      </x:c>
      <x:c r="D10" s="3" t="str">
        <x:v>Установлена только для дат старта каналов; для вещей не установлена</x:v>
      </x:c>
      <x:c r="E10" s="3" t="str">
        <x:v>Только явно указанная фотография/дата; в остальных случаях не установлено</x:v>
      </x:c>
      <x:c r="F10" s="3" t="str">
        <x:v>Не существовал как этот канал</x:v>
      </x:c>
      <x:c r="G10" s="3" t="str">
        <x:v>Исключить из 2015; возможен только в конце интервала после старта</x:v>
      </x:c>
      <x:c r="H10" s="3" t="str">
        <x:v>Допустимый кандидат по времени, не доказанный просмотр</x:v>
      </x:c>
      <x:c r="I10" s="3" t="str">
        <x:v>["S036"]</x:v>
      </x:c>
      <x:c r="J10" s="3" t="str">
        <x:v>Документировано</x:v>
      </x:c>
      <x:c r="K10" s="3" t="str">
        <x:v>Нельзя в 2015 ради неопределенной даты сцены</x:v>
      </x:c>
      <x:c r="L10" s="3" t="str">
        <x:v>https://tnv.ru/about/</x:v>
      </x:c>
    </x:row>
    <x:row r="11" ht="96" customHeight="1">
      <x:c r="A11" s="3" t="str">
        <x:v>T010</x:v>
      </x:c>
      <x:c r="B11" s="3" t="str">
        <x:v>Телефоны</x:v>
      </x:c>
      <x:c r="C11" s="3" t="str">
        <x:v>Конкретная модель не выбрана</x:v>
      </x:c>
      <x:c r="D11" s="3" t="str">
        <x:v>Установлена только для дат старта каналов; для вещей не установлена</x:v>
      </x:c>
      <x:c r="E11" s="3" t="str">
        <x:v>Только явно указанная фотография/дата; в остальных случаях не установлено</x:v>
      </x:c>
      <x:c r="F11" s="3" t="str">
        <x:v>Кнопочный аппарат как предложение; не статистическая норма</x:v>
      </x:c>
      <x:c r="G11" s="3" t="str">
        <x:v>Разные поколения устройств у членов семьи — предложение</x:v>
      </x:c>
      <x:c r="H11" s="3" t="str">
        <x:v>Современные сервисы требуют самостоятельной даты</x:v>
      </x:c>
      <x:c r="I11" s="3" t="str">
        <x:v>[]</x:v>
      </x:c>
      <x:c r="J11" s="3" t="str">
        <x:v>Предложено для игры</x:v>
      </x:c>
      <x:c r="K11" s="3" t="str">
        <x:v>Нельзя утверждать доли смартфонов без данных</x:v>
      </x:c>
      <x:c r="L11" s="3" t="str"/>
    </x:row>
    <x:row r="12" ht="96" customHeight="1">
      <x:c r="A12" s="3" t="str">
        <x:v>T011</x:v>
      </x:c>
      <x:c r="B12" s="3" t="str">
        <x:v>Автомобили</x:v>
      </x:c>
      <x:c r="C12" s="3" t="str">
        <x:v>Модель и комплектация не выбраны</x:v>
      </x:c>
      <x:c r="D12" s="3" t="str">
        <x:v>Установлена только для дат старта каналов; для вещей не установлена</x:v>
      </x:c>
      <x:c r="E12" s="3" t="str">
        <x:v>Только явно указанная фотография/дата; в остальных случаях не установлено</x:v>
      </x:c>
      <x:c r="F12" s="3" t="str">
        <x:v>Проверить существование конкретной версии до выбранной даты</x:v>
      </x:c>
      <x:c r="G12" s="3" t="str">
        <x:v>Старый автомобиль может использоваться; дата покупки не дата выпуска</x:v>
      </x:c>
      <x:c r="H12" s="3" t="str">
        <x:v>Современную модель после 2015 не вводить в основной якорь</x:v>
      </x:c>
      <x:c r="I12" s="3" t="str">
        <x:v>[]</x:v>
      </x:c>
      <x:c r="J12" s="3" t="str">
        <x:v>Предложено для игры</x:v>
      </x:c>
      <x:c r="K12" s="3" t="str">
        <x:v>Не выводить достаток всех жителей по одной машине</x:v>
      </x:c>
      <x:c r="L12" s="3" t="str"/>
    </x:row>
    <x:row r="13" ht="96" customHeight="1">
      <x:c r="A13" s="3" t="str">
        <x:v>T012</x:v>
      </x:c>
      <x:c r="B13" s="3" t="str">
        <x:v>Бытовая техника</x:v>
      </x:c>
      <x:c r="C13" s="3" t="str">
        <x:v>Модели и даты приобретения не установлены</x:v>
      </x:c>
      <x:c r="D13" s="3" t="str">
        <x:v>Установлена только для дат старта каналов; для вещей не установлена</x:v>
      </x:c>
      <x:c r="E13" s="3" t="str">
        <x:v>Только явно указанная фотография/дата; в остальных случаях не установлено</x:v>
      </x:c>
      <x:c r="F13" s="3" t="str">
        <x:v>Отдельные старые приборы, не весь музейный комплект</x:v>
      </x:c>
      <x:c r="G13" s="3" t="str">
        <x:v>H02 холодильник/стирка/чайник: согласованный авторский комплект</x:v>
      </x:c>
      <x:c r="H13" s="3" t="str">
        <x:v>Новые приборы не обязаны одновременно заменять всю мебель</x:v>
      </x:c>
      <x:c r="I13" s="3" t="str">
        <x:v>["S013"]</x:v>
      </x:c>
      <x:c r="J13" s="3" t="str">
        <x:v>Предложено для игры</x:v>
      </x:c>
      <x:c r="K13" s="3" t="str">
        <x:v>Производство прибора не доказывает его присутствие в конкретном хозяйстве</x:v>
      </x:c>
      <x:c r="L13" s="3" t="str">
        <x:v>https://historicalethnology.org/news/2024-t9-n2-4/</x:v>
      </x:c>
    </x:row>
    <x:row r="14" ht="96" customHeight="1">
      <x:c r="A14" s="3" t="str">
        <x:v>T013</x:v>
      </x:c>
      <x:c r="B14" s="3" t="str">
        <x:v>Вывески и объявления</x:v>
      </x:c>
      <x:c r="C14" s="3" t="str">
        <x:v>Шаблон конкретного времени не выбран</x:v>
      </x:c>
      <x:c r="D14" s="3" t="str">
        <x:v>Установлена только для дат старта каналов; для вещей не установлена</x:v>
      </x:c>
      <x:c r="E14" s="3" t="str">
        <x:v>Только явно указанная фотография/дата; в остальных случаях не установлено</x:v>
      </x:c>
      <x:c r="F14" s="3" t="str">
        <x:v>Не использовать нынешний официальный макет автоматически</x:v>
      </x:c>
      <x:c r="G14" s="3" t="str">
        <x:v>Вымышленное объявление без даты/цены или с утвержденным 2015</x:v>
      </x:c>
      <x:c r="H14" s="3" t="str">
        <x:v>Фотография 2021 подтверждает только видимый знак того года</x:v>
      </x:c>
      <x:c r="I14" s="3" t="str">
        <x:v>["S101"]</x:v>
      </x:c>
      <x:c r="J14" s="3" t="str">
        <x:v>Предложено для игры</x:v>
      </x:c>
      <x:c r="K14" s="3" t="str">
        <x:v>Бессмысленные татарские окончания недопустимы</x:v>
      </x:c>
      <x:c r="L14" s="3" t="str">
        <x:v>https://commons.wikimedia.org/wiki/File:New_Kyrlai_(2021-04-26)_01.jpg</x:v>
      </x:c>
    </x:row>
    <x:row r="15" ht="96" customHeight="1">
      <x:c r="A15" s="3" t="str">
        <x:v>T014</x:v>
      </x:c>
      <x:c r="B15" s="3" t="str">
        <x:v>Упаковка</x:v>
      </x:c>
      <x:c r="C15" s="3" t="str">
        <x:v>Точное издание дизайна не установлено</x:v>
      </x:c>
      <x:c r="D15" s="3" t="str">
        <x:v>Установлена только для дат старта каналов; для вещей не установлена</x:v>
      </x:c>
      <x:c r="E15" s="3" t="str">
        <x:v>Только явно указанная фотография/дата; в остальных случаях не установлено</x:v>
      </x:c>
      <x:c r="F15" s="3" t="str">
        <x:v>Нейтральные бытовые емкости безопаснее выдуманного бренда</x:v>
      </x:c>
      <x:c r="G15" s="3" t="str">
        <x:v>Проверить маркировку конкретного товара; не показывать современный код/редизайн без проверки</x:v>
      </x:c>
      <x:c r="H15" s="3" t="str">
        <x:v>Новые способы маркировки не переносить назад</x:v>
      </x:c>
      <x:c r="I15" s="3" t="str">
        <x:v>[]</x:v>
      </x:c>
      <x:c r="J15" s="3" t="str">
        <x:v>Предложено для игры</x:v>
      </x:c>
      <x:c r="K15" s="3" t="str">
        <x:v>Не копировать этикетку 2026 для сцены 2015</x:v>
      </x:c>
      <x:c r="L15" s="3" t="str"/>
    </x:row>
    <x:row r="16" ht="96" customHeight="1">
      <x:c r="A16" s="3" t="str">
        <x:v>T015</x:v>
      </x:c>
      <x:c r="B16" s="3" t="str">
        <x:v>Интернет и медиа</x:v>
      </x:c>
      <x:c r="C16" s="3" t="str">
        <x:v>Даты подключения и локальная сеть не установлены</x:v>
      </x:c>
      <x:c r="D16" s="3" t="str">
        <x:v>Установлена только для дат старта каналов; для вещей не установлена</x:v>
      </x:c>
      <x:c r="E16" s="3" t="str">
        <x:v>Только явно указанная фотография/дата; в остальных случаях не установлено</x:v>
      </x:c>
      <x:c r="F16" s="3" t="str">
        <x:v>Не делать вывод из общероссийской доступности</x:v>
      </x:c>
      <x:c r="G16" s="3" t="str">
        <x:v>Наличие телефона не означает быстрый домашний интернет</x:v>
      </x:c>
      <x:c r="H16" s="3" t="str">
        <x:v>Стриминг/мессенджер проверять по версии и доступу</x:v>
      </x:c>
      <x:c r="I16" s="3" t="str">
        <x:v>["S036"]</x:v>
      </x:c>
      <x:c r="J16" s="3" t="str">
        <x:v>Предложено для игры</x:v>
      </x:c>
      <x:c r="K16" s="3" t="str">
        <x:v>Плохой интернет не объявлять свойством всей деревни</x:v>
      </x:c>
      <x:c r="L16" s="3" t="str">
        <x:v>https://tnv.ru/about/</x:v>
      </x:c>
    </x:row>
    <x:row r="17" ht="96" customHeight="1">
      <x:c r="A17" s="3" t="str">
        <x:v>T016</x:v>
      </x:c>
      <x:c r="B17" s="3" t="str">
        <x:v>Дороги, свет и благоустройство</x:v>
      </x:c>
      <x:c r="C17" s="3" t="str">
        <x:v>Исследование описывает программу с 2013 г.</x:v>
      </x:c>
      <x:c r="D17" s="3" t="str">
        <x:v>Установлена только для дат старта каналов; для вещей не установлена</x:v>
      </x:c>
      <x:c r="E17" s="3" t="str">
        <x:v>Только явно указанная фотография/дата; в остальных случаях не установлено</x:v>
      </x:c>
      <x:c r="F17" s="3" t="str">
        <x:v>До 2013 не приписывать объект этой программе</x:v>
      </x:c>
      <x:c r="G17" s="3" t="str">
        <x:v>Якорь 2015 допускает незавершенные и точечные изменения как проект</x:v>
      </x:c>
      <x:c r="H17" s="3" t="str">
        <x:v>Работы 2020-х не автоматически существовали в 2015</x:v>
      </x:c>
      <x:c r="I17" s="3" t="str">
        <x:v>["S014"]</x:v>
      </x:c>
      <x:c r="J17" s="3" t="str">
        <x:v>Предложено для игры</x:v>
      </x:c>
      <x:c r="K17" s="3" t="str">
        <x:v>Программа и генплан не доказательство строительства конкретного объекта</x:v>
      </x:c>
      <x:c r="L17" s="3" t="str">
        <x:v>https://historicalethnology.org/news/2024-t9-n2-10/</x:v>
      </x:c>
    </x:row>
  </x:sheetData>
  <x:conditionalFormatting sqref="J2:J17">
    <x:cfRule type="expression" dxfId="12" priority="1">
      <x:formula>J2="Предложено для игры"</x:formula>
    </x:cfRule>
    <x:cfRule type="expression" dxfId="13" priority="2">
      <x:formula>J2="Не установлено"</x:formula>
    </x:cfRule>
  </x:conditionalFormatting>
  <x:dataValidations count="1">
    <x:dataValidation type="list" sqref="J2:J17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497dee2cae4b13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40" hidden="0" customWidth="1"/>
    <x:col min="9" max="9" width="40" hidden="0" customWidth="1"/>
  </x:cols>
  <x:sheetData>
    <x:row r="1" ht="42" customHeight="1">
      <x:c r="A1" s="8" t="str">
        <x:v>term_id</x:v>
      </x:c>
      <x:c r="B1" s="8" t="str">
        <x:v>name_tt</x:v>
      </x:c>
      <x:c r="C1" s="8" t="str">
        <x:v>translation_ru</x:v>
      </x:c>
      <x:c r="D1" s="8" t="str">
        <x:v>source_ids</x:v>
      </x:c>
      <x:c r="E1" s="8" t="str">
        <x:v>context</x:v>
      </x:c>
      <x:c r="F1" s="8" t="str">
        <x:v>spelling_status</x:v>
      </x:c>
      <x:c r="G1" s="8" t="str">
        <x:v>pronunciation_status</x:v>
      </x:c>
      <x:c r="H1" s="8" t="str">
        <x:v>limits</x:v>
      </x:c>
      <x:c r="I1" s="8" t="str">
        <x:v>source_urls</x:v>
      </x:c>
    </x:row>
    <x:row r="2" ht="96" customHeight="1">
      <x:c r="A2" s="3" t="str">
        <x:v>TT01</x:v>
      </x:c>
      <x:c r="B2" s="3" t="str">
        <x:v>өй</x:v>
      </x:c>
      <x:c r="C2" s="3" t="str">
        <x:v>дом</x:v>
      </x:c>
      <x:c r="D2" s="3" t="str">
        <x:v>["S011"]</x:v>
      </x:c>
      <x:c r="E2" s="3" t="str">
        <x:v>Название жилища в письменном источнике</x:v>
      </x:c>
      <x:c r="F2" s="3" t="str">
        <x:v>Зафиксировано в прочитанном источнике; независимая словарная сверка не выполнена</x:v>
      </x:c>
      <x:c r="G2" s="3" t="str">
        <x:v>Требуется носитель</x:v>
      </x:c>
      <x:c r="H2" s="3" t="str">
        <x:v>Местную разговорную форму проверить</x:v>
      </x:c>
      <x:c r="I2" s="3" t="str">
        <x:v>https://almet-history.tatneft.ru/istoriya/traditsionnaya-kultura/remesla-i-narodnoe-iskusstvo/d-k/zhilishche-narodnoe?lang=ru</x:v>
      </x:c>
    </x:row>
    <x:row r="3" ht="96" customHeight="1">
      <x:c r="A3" s="3" t="str">
        <x:v>TT02</x:v>
      </x:c>
      <x:c r="B3" s="3" t="str">
        <x:v>өйалды</x:v>
      </x:c>
      <x:c r="C3" s="3" t="str">
        <x:v>сени / передняя часть дома в данном описании</x:v>
      </x:c>
      <x:c r="D3" s="3" t="str">
        <x:v>["S011"]</x:v>
      </x:c>
      <x:c r="E3" s="3" t="str">
        <x:v>Историческое описание планировки</x:v>
      </x:c>
      <x:c r="F3" s="3" t="str">
        <x:v>Зафиксировано в прочитанном источнике; независимая словарная сверка не выполнена</x:v>
      </x:c>
      <x:c r="G3" s="3" t="str">
        <x:v>Требуется носитель</x:v>
      </x:c>
      <x:c r="H3" s="3" t="str">
        <x:v>Не автоматически современная прихожая любого типа</x:v>
      </x:c>
      <x:c r="I3" s="3" t="str">
        <x:v>https://almet-history.tatneft.ru/istoriya/traditsionnaya-kultura/remesla-i-narodnoe-iskusstvo/d-k/zhilishche-narodnoe?lang=ru</x:v>
      </x:c>
    </x:row>
    <x:row r="4" ht="96" customHeight="1">
      <x:c r="A4" s="3" t="str">
        <x:v>TT03</x:v>
      </x:c>
      <x:c r="B4" s="3" t="str">
        <x:v>нигез</x:v>
      </x:c>
      <x:c r="C4" s="3" t="str">
        <x:v>основание / фундамент в контексте источника</x:v>
      </x:c>
      <x:c r="D4" s="3" t="str">
        <x:v>["S011"]</x:v>
      </x:c>
      <x:c r="E4" s="3" t="str">
        <x:v>Строительный термин</x:v>
      </x:c>
      <x:c r="F4" s="3" t="str">
        <x:v>Зафиксировано в прочитанном источнике; независимая словарная сверка не выполнена</x:v>
      </x:c>
      <x:c r="G4" s="3" t="str">
        <x:v>Требуется носитель</x:v>
      </x:c>
      <x:c r="H4" s="3" t="str">
        <x:v>Оттенки значения и произношение требуют словарной сверки</x:v>
      </x:c>
      <x:c r="I4" s="3" t="str">
        <x:v>https://almet-history.tatneft.ru/istoriya/traditsionnaya-kultura/remesla-i-narodnoe-iskusstvo/d-k/zhilishche-narodnoe?lang=ru</x:v>
      </x:c>
    </x:row>
    <x:row r="5" ht="96" customHeight="1">
      <x:c r="A5" s="3" t="str">
        <x:v>TT04</x:v>
      </x:c>
      <x:c r="B5" s="3" t="str">
        <x:v>идән</x:v>
      </x:c>
      <x:c r="C5" s="3" t="str">
        <x:v>пол</x:v>
      </x:c>
      <x:c r="D5" s="3" t="str">
        <x:v>["S011"]</x:v>
      </x:c>
      <x:c r="E5" s="3" t="str">
        <x:v>Внутреннее устройство дома</x:v>
      </x:c>
      <x:c r="F5" s="3" t="str">
        <x:v>Зафиксировано в прочитанном источнике; независимая словарная сверка не выполнена</x:v>
      </x:c>
      <x:c r="G5" s="3" t="str">
        <x:v>Требуется носитель</x:v>
      </x:c>
      <x:c r="H5" s="3" t="str">
        <x:v>Разговорное употребление в конкретном селе не проверено</x:v>
      </x:c>
      <x:c r="I5" s="3" t="str">
        <x:v>https://almet-history.tatneft.ru/istoriya/traditsionnaya-kultura/remesla-i-narodnoe-iskusstvo/d-k/zhilishche-narodnoe?lang=ru</x:v>
      </x:c>
    </x:row>
    <x:row r="6" ht="96" customHeight="1">
      <x:c r="A6" s="3" t="str">
        <x:v>TT05</x:v>
      </x:c>
      <x:c r="B6" s="3" t="str">
        <x:v>сәке</x:v>
      </x:c>
      <x:c r="C6" s="3" t="str">
        <x:v>нары / приподнятая платформа</x:v>
      </x:c>
      <x:c r="D6" s="3" t="str">
        <x:v>["S012"]</x:v>
      </x:c>
      <x:c r="E6" s="3" t="str">
        <x:v>Исторический интерьер</x:v>
      </x:c>
      <x:c r="F6" s="3" t="str">
        <x:v>Зафиксировано в прочитанном источнике; независимая словарная сверка не выполнена</x:v>
      </x:c>
      <x:c r="G6" s="3" t="str">
        <x:v>Требуется носитель</x:v>
      </x:c>
      <x:c r="H6" s="3" t="str">
        <x:v>Не общее слово для любого дивана</x:v>
      </x:c>
      <x:c r="I6" s="3" t="str">
        <x:v>https://almet-history.tatneft.ru/istoriya/traditsionnaya-kultura/remesla-i-narodnoe-iskusstvo/d-k/interer?lang=ru</x:v>
      </x:c>
    </x:row>
    <x:row r="7" ht="96" customHeight="1">
      <x:c r="A7" s="3" t="str">
        <x:v>TT06</x:v>
      </x:c>
      <x:c r="B7" s="3" t="str">
        <x:v>чаршау</x:v>
      </x:c>
      <x:c r="C7" s="3" t="str">
        <x:v>занавесь / разделяющая занавеска</x:v>
      </x:c>
      <x:c r="D7" s="3" t="str">
        <x:v>["S012"]</x:v>
      </x:c>
      <x:c r="E7" s="3" t="str">
        <x:v>Разделение исторического интерьера</x:v>
      </x:c>
      <x:c r="F7" s="3" t="str">
        <x:v>Зафиксировано в прочитанном источнике; независимая словарная сверка не выполнена</x:v>
      </x:c>
      <x:c r="G7" s="3" t="str">
        <x:v>Требуется носитель</x:v>
      </x:c>
      <x:c r="H7" s="3" t="str">
        <x:v>Не приписывать каждому современному тюлю эту функцию</x:v>
      </x:c>
      <x:c r="I7" s="3" t="str">
        <x:v>https://almet-history.tatneft.ru/istoriya/traditsionnaya-kultura/remesla-i-narodnoe-iskusstvo/d-k/interer?lang=ru</x:v>
      </x:c>
    </x:row>
    <x:row r="8" ht="96" customHeight="1">
      <x:c r="A8" s="3" t="str">
        <x:v>TT07</x:v>
      </x:c>
      <x:c r="B8" s="3" t="str">
        <x:v>түрләмә</x:v>
      </x:c>
      <x:c r="C8" s="3" t="str">
        <x:v>локальный вид декоративного текстиля</x:v>
      </x:c>
      <x:c r="D8" s="3" t="str">
        <x:v>["S012"]</x:v>
      </x:c>
      <x:c r="E8" s="3" t="str">
        <x:v>Указанные альметьевские села</x:v>
      </x:c>
      <x:c r="F8" s="3" t="str">
        <x:v>Зафиксировано в прочитанном источнике; независимая словарная сверка не выполнена</x:v>
      </x:c>
      <x:c r="G8" s="3" t="str">
        <x:v>Требуется носитель</x:v>
      </x:c>
      <x:c r="H8" s="3" t="str">
        <x:v>Не универсальное украшение дома верховьев Ии</x:v>
      </x:c>
      <x:c r="I8" s="3" t="str">
        <x:v>https://almet-history.tatneft.ru/istoriya/traditsionnaya-kultura/remesla-i-narodnoe-iskusstvo/d-k/interer?lang=ru</x:v>
      </x:c>
    </x:row>
    <x:row r="9" ht="96" customHeight="1">
      <x:c r="A9" s="3" t="str">
        <x:v>TT08</x:v>
      </x:c>
      <x:c r="B9" s="3" t="str">
        <x:v>Шүрәле</x:v>
      </x:c>
      <x:c r="C9" s="3" t="str">
        <x:v>Шурале</x:v>
      </x:c>
      <x:c r="D9" s="3" t="str">
        <x:v>["S031"]</x:v>
      </x:c>
      <x:c r="E9" s="3" t="str">
        <x:v>Название и персонаж авторского татарского текста</x:v>
      </x:c>
      <x:c r="F9" s="3" t="str">
        <x:v>Зафиксировано в прочитанном источнике; независимая словарная сверка не выполнена</x:v>
      </x:c>
      <x:c r="G9" s="3" t="str">
        <x:v>Требуется носитель</x:v>
      </x:c>
      <x:c r="H9" s="3" t="str">
        <x:v>Актерское произношение проверить носителем</x:v>
      </x:c>
      <x:c r="I9" s="3" t="str">
        <x:v>https://tugan-tel.tatar/adabiyat/shigriyat/Gabdulla_Tukai/shurale.pdf</x:v>
      </x:c>
    </x:row>
    <x:row r="10" ht="96" customHeight="1">
      <x:c r="A10" s="3" t="str">
        <x:v>TT09</x:v>
      </x:c>
      <x:c r="B10" s="3" t="str">
        <x:v>Былтыр</x:v>
      </x:c>
      <x:c r="C10" s="3" t="str">
        <x:v>в прошлом году; имя-уловка в сюжете</x:v>
      </x:c>
      <x:c r="D10" s="3" t="str">
        <x:v>["S031"]</x:v>
      </x:c>
      <x:c r="E10" s="3" t="str">
        <x:v>Словесная двусмысленность</x:v>
      </x:c>
      <x:c r="F10" s="3" t="str">
        <x:v>Зафиксировано в прочитанном источнике; независимая словарная сверка не выполнена</x:v>
      </x:c>
      <x:c r="G10" s="3" t="str">
        <x:v>Требуется носитель</x:v>
      </x:c>
      <x:c r="H10" s="3" t="str">
        <x:v>Не настоящее имя всех героев</x:v>
      </x:c>
      <x:c r="I10" s="3" t="str">
        <x:v>https://tugan-tel.tatar/adabiyat/shigriyat/Gabdulla_Tukai/shurale.pdf</x:v>
      </x:c>
    </x:row>
    <x:row r="11" ht="96" customHeight="1">
      <x:c r="A11" s="3" t="str">
        <x:v>TT10</x:v>
      </x:c>
      <x:c r="B11" s="3" t="str">
        <x:v>ур.</x:v>
      </x:c>
      <x:c r="C11" s="3" t="str">
        <x:v>сокращение на уличной табличке</x:v>
      </x:c>
      <x:c r="D11" s="3" t="str">
        <x:v>["S101"]</x:v>
      </x:c>
      <x:c r="E11" s="3" t="str">
        <x:v>Наблюдаемая пара русской и татарской адресной строки</x:v>
      </x:c>
      <x:c r="F11" s="3" t="str">
        <x:v>Зафиксировано в прочитанном источнике; независимая словарная сверка не выполнена</x:v>
      </x:c>
      <x:c r="G11" s="3" t="str">
        <x:v>Требуется носитель</x:v>
      </x:c>
      <x:c r="H11" s="3" t="str">
        <x:v>Развернутый макет таблички и пунктуацию проверить перед выпуском</x:v>
      </x:c>
      <x:c r="I11" s="3" t="str">
        <x:v>https://commons.wikimedia.org/wiki/File:New_Kyrlai_(2021-04-26)_01.jpg</x:v>
      </x:c>
    </x:row>
  </x:sheetData>
  <x:pageMargins left="0.7" right="0.7" top="0.75" bottom="0.75" header="0.3" footer="0.3"/>
  <x:tableParts count="1">
    <x:tablePart xmlns:r="http://schemas.openxmlformats.org/officeDocument/2006/relationships" r:id="Rf4d60bcdfe044b8d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40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3" hidden="0" customWidth="1"/>
    <x:col min="9" max="9" width="40" hidden="0" customWidth="1"/>
    <x:col min="10" max="10" width="34" hidden="0" customWidth="1"/>
    <x:col min="11" max="11" width="34" hidden="0" customWidth="1"/>
    <x:col min="12" max="12" width="23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23" hidden="0" customWidth="1"/>
    <x:col min="19" max="19" width="34" hidden="0" customWidth="1"/>
    <x:col min="20" max="20" width="40" hidden="0" customWidth="1"/>
  </x:cols>
  <x:sheetData>
    <x:row r="1" ht="42" customHeight="1">
      <x:c r="A1" s="8" t="str">
        <x:v>av_id</x:v>
      </x:c>
      <x:c r="B1" s="8" t="str">
        <x:v>title</x:v>
      </x:c>
      <x:c r="C1" s="8" t="str">
        <x:v>place</x:v>
      </x:c>
      <x:c r="D1" s="8" t="str">
        <x:v>season_time</x:v>
      </x:c>
      <x:c r="E1" s="8" t="str">
        <x:v>continuous_or_event</x:v>
      </x:c>
      <x:c r="F1" s="8" t="str">
        <x:v>sound_character</x:v>
      </x:c>
      <x:c r="G1" s="8" t="str">
        <x:v>distance_and_barriers</x:v>
      </x:c>
      <x:c r="H1" s="8" t="str">
        <x:v>source_ids</x:v>
      </x:c>
      <x:c r="I1" s="8" t="str">
        <x:v>url</x:v>
      </x:c>
      <x:c r="J1" s="8" t="str">
        <x:v>start_timecode</x:v>
      </x:c>
      <x:c r="K1" s="8" t="str">
        <x:v>end_timecode</x:v>
      </x:c>
      <x:c r="L1" s="8" t="str">
        <x:v>actually_listened</x:v>
      </x:c>
      <x:c r="M1" s="8" t="str">
        <x:v>recording_status</x:v>
      </x:c>
      <x:c r="N1" s="8" t="str">
        <x:v>confirmed_by_recording</x:v>
      </x:c>
      <x:c r="O1" s="8" t="str">
        <x:v>game_use</x:v>
      </x:c>
      <x:c r="P1" s="8" t="str">
        <x:v>rights</x:v>
      </x:c>
      <x:c r="Q1" s="8" t="str">
        <x:v>needs_own_recording</x:v>
      </x:c>
      <x:c r="R1" s="8" t="str">
        <x:v>evidence_status</x:v>
      </x:c>
      <x:c r="S1" s="8" t="str">
        <x:v>mixing_notes</x:v>
      </x:c>
      <x:c r="T1" s="8" t="str">
        <x:v>source_urls</x:v>
      </x:c>
    </x:row>
    <x:row r="2" ht="96" customHeight="1">
      <x:c r="A2" s="3" t="str">
        <x:v>AV001</x:v>
      </x:c>
      <x:c r="B2" s="3" t="str">
        <x:v>Дневная улица</x:v>
      </x:c>
      <x:c r="C2" s="3" t="str">
        <x:v>ST01</x:v>
      </x:c>
      <x:c r="D2" s="3" t="str">
        <x:v>Лето, обычный день</x:v>
      </x:c>
      <x:c r="E2" s="3" t="str">
        <x:v>Фон + редкие события</x:v>
      </x:c>
      <x:c r="F2" s="3" t="str">
        <x:v>Листва/дальний быт; один проезд или разговор, не все события одновременно</x:v>
      </x:c>
      <x:c r="G2" s="3" t="str">
        <x:v>Ближняя обочина; отдельные звуки за ограждением</x:v>
      </x:c>
      <x:c r="H2" s="3" t="str">
        <x:v>["S101", "S014"]</x:v>
      </x:c>
      <x:c r="I2" s="3" t="str"/>
      <x:c r="J2" s="3" t="str"/>
      <x:c r="K2" s="3" t="str"/>
      <x:c r="L2" s="15" t="b">
        <x:v>0</x:v>
      </x:c>
      <x:c r="M2" s="3" t="str">
        <x:v>Производственная карточка собственной записи; фонограмма отсутствует</x:v>
      </x:c>
      <x:c r="N2" s="3" t="str">
        <x:v>Ничего: прослушивания не было</x:v>
      </x:c>
      <x:c r="O2" s="3" t="str">
        <x:v>Листва/дальний быт; один проезд или разговор, не все события одновременно</x:v>
      </x:c>
      <x:c r="P2" s="3" t="str">
        <x:v>Право включения фонограммы не получено; собственная запись или отдельная лицензия</x:v>
      </x:c>
      <x:c r="Q2" s="15" t="b">
        <x:v>1</x:v>
      </x:c>
      <x:c r="R2" s="3" t="str">
        <x:v>Предложено для игры</x:v>
      </x:c>
      <x:c r="S2" s="3" t="str">
        <x:v>Уровни dB и спектральные параметры не измерены; настраивать после записи</x:v>
      </x:c>
      <x:c r="T2" s="3" t="str">
        <x:v>https://commons.wikimedia.org/wiki/File:New_Kyrlai_(2021-04-26)_01.jpg
https://historicalethnology.org/news/2024-t9-n2-10/</x:v>
      </x:c>
    </x:row>
    <x:row r="3" ht="96" customHeight="1">
      <x:c r="A3" s="3" t="str">
        <x:v>AV002</x:v>
      </x:c>
      <x:c r="B3" s="3" t="str">
        <x:v>Калитка и ворота</x:v>
      </x:c>
      <x:c r="C3" s="3" t="str">
        <x:v>Вход H02</x:v>
      </x:c>
      <x:c r="D3" s="3" t="str">
        <x:v>Любой сезон; сухой/влажный варианты</x:v>
      </x:c>
      <x:c r="E3" s="3" t="str">
        <x:v>Событие</x:v>
      </x:c>
      <x:c r="F3" s="3" t="str">
        <x:v>Отдельно защелка, петли, ход полотна и удар ограничителя</x:v>
      </x:c>
      <x:c r="G3" s="3" t="str">
        <x:v>Рядом; из дома приглушается двумя дверями</x:v>
      </x:c>
      <x:c r="H3" s="3" t="str">
        <x:v>["S101"]</x:v>
      </x:c>
      <x:c r="I3" s="3" t="str"/>
      <x:c r="J3" s="3" t="str"/>
      <x:c r="K3" s="3" t="str"/>
      <x:c r="L3" s="15" t="b">
        <x:v>0</x:v>
      </x:c>
      <x:c r="M3" s="3" t="str">
        <x:v>Производственная карточка собственной записи; фонограмма отсутствует</x:v>
      </x:c>
      <x:c r="N3" s="3" t="str">
        <x:v>Ничего: прослушивания не было</x:v>
      </x:c>
      <x:c r="O3" s="3" t="str">
        <x:v>Отдельно защелка, петли, ход полотна и удар ограничителя</x:v>
      </x:c>
      <x:c r="P3" s="3" t="str">
        <x:v>Право включения фонограммы не получено; собственная запись или отдельная лицензия</x:v>
      </x:c>
      <x:c r="Q3" s="15" t="b">
        <x:v>1</x:v>
      </x:c>
      <x:c r="R3" s="3" t="str">
        <x:v>Предложено для игры</x:v>
      </x:c>
      <x:c r="S3" s="3" t="str">
        <x:v>Уровни dB и спектральные параметры не измерены; настраивать после записи</x:v>
      </x:c>
      <x:c r="T3" s="3" t="str">
        <x:v>https://commons.wikimedia.org/wiki/File:New_Kyrlai_(2021-04-26)_01.jpg</x:v>
      </x:c>
    </x:row>
    <x:row r="4" ht="96" customHeight="1">
      <x:c r="A4" s="3" t="str">
        <x:v>AV003</x:v>
      </x:c>
      <x:c r="B4" s="3" t="str">
        <x:v>Кухня H02</x:v>
      </x:c>
      <x:c r="C4" s="3" t="str">
        <x:v>SC05</x:v>
      </x:c>
      <x:c r="D4" s="3" t="str">
        <x:v>Утро/вечер</x:v>
      </x:c>
      <x:c r="E4" s="3" t="str">
        <x:v>Фон прибора + действия</x:v>
      </x:c>
      <x:c r="F4" s="3" t="str">
        <x:v>Вода, чашка, ложка, чайник и редкий цикл холодильника по действию</x:v>
      </x:c>
      <x:c r="G4" s="3" t="str">
        <x:v>Близко; за закрытой кухонной дверью иной уровень</x:v>
      </x:c>
      <x:c r="H4" s="3" t="str">
        <x:v>[]</x:v>
      </x:c>
      <x:c r="I4" s="3" t="str"/>
      <x:c r="J4" s="3" t="str"/>
      <x:c r="K4" s="3" t="str"/>
      <x:c r="L4" s="15" t="b">
        <x:v>0</x:v>
      </x:c>
      <x:c r="M4" s="3" t="str">
        <x:v>Производственная карточка собственной записи; фонограмма отсутствует</x:v>
      </x:c>
      <x:c r="N4" s="3" t="str">
        <x:v>Ничего: прослушивания не было</x:v>
      </x:c>
      <x:c r="O4" s="3" t="str">
        <x:v>Вода, чашка, ложка, чайник и редкий цикл холодильника по действию</x:v>
      </x:c>
      <x:c r="P4" s="3" t="str">
        <x:v>Право включения фонограммы не получено; собственная запись или отдельная лицензия</x:v>
      </x:c>
      <x:c r="Q4" s="15" t="b">
        <x:v>1</x:v>
      </x:c>
      <x:c r="R4" s="3" t="str">
        <x:v>Предложено для игры</x:v>
      </x:c>
      <x:c r="S4" s="3" t="str">
        <x:v>Уровни dB и спектральные параметры не измерены; настраивать после записи</x:v>
      </x:c>
      <x:c r="T4" s="3" t="str"/>
    </x:row>
    <x:row r="5" ht="96" customHeight="1">
      <x:c r="A5" s="3" t="str">
        <x:v>AV004</x:v>
      </x:c>
      <x:c r="B5" s="3" t="str">
        <x:v>Жилая комната</x:v>
      </x:c>
      <x:c r="C5" s="3" t="str">
        <x:v>SC06</x:v>
      </x:c>
      <x:c r="D5" s="3" t="str">
        <x:v>Вечер</x:v>
      </x:c>
      <x:c r="E5" s="3" t="str">
        <x:v>Медиа + отдельные движения</x:v>
      </x:c>
      <x:c r="F5" s="3" t="str">
        <x:v>Негромкая речь из телевизора, ткань, шаг по ковру; радио не дублирует ТВ без причины</x:v>
      </x:c>
      <x:c r="G5" s="3" t="str">
        <x:v>Прямой звук в комнате; из окна теряет разборчивость</x:v>
      </x:c>
      <x:c r="H5" s="3" t="str">
        <x:v>["S036"]</x:v>
      </x:c>
      <x:c r="I5" s="3" t="str"/>
      <x:c r="J5" s="3" t="str"/>
      <x:c r="K5" s="3" t="str"/>
      <x:c r="L5" s="15" t="b">
        <x:v>0</x:v>
      </x:c>
      <x:c r="M5" s="3" t="str">
        <x:v>Производственная карточка собственной записи; фонограмма отсутствует</x:v>
      </x:c>
      <x:c r="N5" s="3" t="str">
        <x:v>Ничего: прослушивания не было</x:v>
      </x:c>
      <x:c r="O5" s="3" t="str">
        <x:v>Негромкая речь из телевизора, ткань, шаг по ковру; радио не дублирует ТВ без причины</x:v>
      </x:c>
      <x:c r="P5" s="3" t="str">
        <x:v>Право включения фонограммы не получено; собственная запись или отдельная лицензия</x:v>
      </x:c>
      <x:c r="Q5" s="15" t="b">
        <x:v>1</x:v>
      </x:c>
      <x:c r="R5" s="3" t="str">
        <x:v>Предложено для игры</x:v>
      </x:c>
      <x:c r="S5" s="3" t="str">
        <x:v>Уровни dB и спектральные параметры не измерены; настраивать после записи</x:v>
      </x:c>
      <x:c r="T5" s="3" t="str">
        <x:v>https://tnv.ru/about/</x:v>
      </x:c>
    </x:row>
    <x:row r="6" ht="96" customHeight="1">
      <x:c r="A6" s="3" t="str">
        <x:v>AV005</x:v>
      </x:c>
      <x:c r="B6" s="3" t="str">
        <x:v>Рабочий двор</x:v>
      </x:c>
      <x:c r="C6" s="3" t="str">
        <x:v>H03</x:v>
      </x:c>
      <x:c r="D6" s="3" t="str">
        <x:v>День по хозяйственному календарю</x:v>
      </x:c>
      <x:c r="E6" s="3" t="str">
        <x:v>События</x:v>
      </x:c>
      <x:c r="F6" s="3" t="str">
        <x:v>Ведро, тележка, кормление или работа инструментом; животное только в выбранном дворе</x:v>
      </x:c>
      <x:c r="G6" s="3" t="str">
        <x:v>Частично закрыто сараем/забором</x:v>
      </x:c>
      <x:c r="H6" s="3" t="str">
        <x:v>["S010"]</x:v>
      </x:c>
      <x:c r="I6" s="3" t="str"/>
      <x:c r="J6" s="3" t="str"/>
      <x:c r="K6" s="3" t="str"/>
      <x:c r="L6" s="15" t="b">
        <x:v>0</x:v>
      </x:c>
      <x:c r="M6" s="3" t="str">
        <x:v>Производственная карточка собственной записи; фонограмма отсутствует</x:v>
      </x:c>
      <x:c r="N6" s="3" t="str">
        <x:v>Ничего: прослушивания не было</x:v>
      </x:c>
      <x:c r="O6" s="3" t="str">
        <x:v>Ведро, тележка, кормление или работа инструментом; животное только в выбранном дворе</x:v>
      </x:c>
      <x:c r="P6" s="3" t="str">
        <x:v>Право включения фонограммы не получено; собственная запись или отдельная лицензия</x:v>
      </x:c>
      <x:c r="Q6" s="15" t="b">
        <x:v>1</x:v>
      </x:c>
      <x:c r="R6" s="3" t="str">
        <x:v>Предложено для игры</x:v>
      </x:c>
      <x:c r="S6" s="3" t="str">
        <x:v>Уровни dB и спектральные параметры не измерены; настраивать после записи</x:v>
      </x:c>
      <x:c r="T6" s="3" t="str">
        <x:v>https://almet-history.tatneft.ru/istoriya/traditsionnaya-kultura/remesla-i-narodnoe-iskusstvo/d-k/ihata?lang=ru</x:v>
      </x:c>
    </x:row>
    <x:row r="7" ht="96" customHeight="1">
      <x:c r="A7" s="3" t="str">
        <x:v>AV006</x:v>
      </x:c>
      <x:c r="B7" s="3" t="str">
        <x:v>Баня</x:v>
      </x:c>
      <x:c r="C7" s="3" t="str">
        <x:v>SC07</x:v>
      </x:c>
      <x:c r="D7" s="3" t="str">
        <x:v>Выбранный день топки</x:v>
      </x:c>
      <x:c r="E7" s="3" t="str">
        <x:v>События</x:v>
      </x:c>
      <x:c r="F7" s="3" t="str">
        <x:v>Вода, дерево двери, ведро; огонь только при топке</x:v>
      </x:c>
      <x:c r="G7" s="3" t="str">
        <x:v>Малое помещение; предбанник как преграда</x:v>
      </x:c>
      <x:c r="H7" s="3" t="str">
        <x:v>["S010"]</x:v>
      </x:c>
      <x:c r="I7" s="3" t="str"/>
      <x:c r="J7" s="3" t="str"/>
      <x:c r="K7" s="3" t="str"/>
      <x:c r="L7" s="15" t="b">
        <x:v>0</x:v>
      </x:c>
      <x:c r="M7" s="3" t="str">
        <x:v>Производственная карточка собственной записи; фонограмма отсутствует</x:v>
      </x:c>
      <x:c r="N7" s="3" t="str">
        <x:v>Ничего: прослушивания не было</x:v>
      </x:c>
      <x:c r="O7" s="3" t="str">
        <x:v>Вода, дерево двери, ведро; огонь только при топке</x:v>
      </x:c>
      <x:c r="P7" s="3" t="str">
        <x:v>Право включения фонограммы не получено; собственная запись или отдельная лицензия</x:v>
      </x:c>
      <x:c r="Q7" s="15" t="b">
        <x:v>1</x:v>
      </x:c>
      <x:c r="R7" s="3" t="str">
        <x:v>Предложено для игры</x:v>
      </x:c>
      <x:c r="S7" s="3" t="str">
        <x:v>Уровни dB и спектральные параметры не измерены; настраивать после записи</x:v>
      </x:c>
      <x:c r="T7" s="3" t="str">
        <x:v>https://almet-history.tatneft.ru/istoriya/traditsionnaya-kultura/remesla-i-narodnoe-iskusstvo/d-k/ihata?lang=ru</x:v>
      </x:c>
    </x:row>
    <x:row r="8" ht="96" customHeight="1">
      <x:c r="A8" s="3" t="str">
        <x:v>AV007</x:v>
      </x:c>
      <x:c r="B8" s="3" t="str">
        <x:v>Вода и берег</x:v>
      </x:c>
      <x:c r="C8" s="3" t="str">
        <x:v>SC09</x:v>
      </x:c>
      <x:c r="D8" s="3" t="str">
        <x:v>Весенний расход / спокойное лето</x:v>
      </x:c>
      <x:c r="E8" s="3" t="str">
        <x:v>Фон по состоянию</x:v>
      </x:c>
      <x:c r="F8" s="3" t="str">
        <x:v>Весенняя вода не тот же луп, что спокойный пруд; движения травы и отдельные капли</x:v>
      </x:c>
      <x:c r="G8" s="3" t="str">
        <x:v>У воды; за кустарником прямой звук меняется</x:v>
      </x:c>
      <x:c r="H8" s="3" t="str">
        <x:v>["S016", "S102"]</x:v>
      </x:c>
      <x:c r="I8" s="3" t="str"/>
      <x:c r="J8" s="3" t="str"/>
      <x:c r="K8" s="3" t="str"/>
      <x:c r="L8" s="15" t="b">
        <x:v>0</x:v>
      </x:c>
      <x:c r="M8" s="3" t="str">
        <x:v>Производственная карточка собственной записи; фонограмма отсутствует</x:v>
      </x:c>
      <x:c r="N8" s="3" t="str">
        <x:v>Ничего: прослушивания не было</x:v>
      </x:c>
      <x:c r="O8" s="3" t="str">
        <x:v>Весенняя вода не тот же луп, что спокойный пруд; движения травы и отдельные капли</x:v>
      </x:c>
      <x:c r="P8" s="3" t="str">
        <x:v>Право включения фонограммы не получено; собственная запись или отдельная лицензия</x:v>
      </x:c>
      <x:c r="Q8" s="15" t="b">
        <x:v>1</x:v>
      </x:c>
      <x:c r="R8" s="3" t="str">
        <x:v>Предложено для игры</x:v>
      </x:c>
      <x:c r="S8" s="3" t="str">
        <x:v>Уровни dB и спектральные параметры не измерены; настраивать после записи</x:v>
      </x:c>
      <x:c r="T8" s="3" t="str">
        <x:v>https://tatarica.org/ru/razdely/priroda/gidrograficheskaya-set/reki/iya
https://commons.wikimedia.org/wiki/File:2014-07-15_14-02-02_Тукай-Кырлай.jpg</x:v>
      </x:c>
    </x:row>
    <x:row r="9" ht="96" customHeight="1">
      <x:c r="A9" s="3" t="str">
        <x:v>AV008</x:v>
      </x:c>
      <x:c r="B9" s="3" t="str">
        <x:v>Окраина и поле</x:v>
      </x:c>
      <x:c r="C9" s="3" t="str">
        <x:v>SC10</x:v>
      </x:c>
      <x:c r="D9" s="3" t="str">
        <x:v>Лето, день/сумерки раздельно</x:v>
      </x:c>
      <x:c r="E9" s="3" t="str">
        <x:v>Фон + редкая техника</x:v>
      </x:c>
      <x:c r="F9" s="3" t="str">
        <x:v>Ветер по траве; удаленная работа при событии; село не исчезает мгновенно</x:v>
      </x:c>
      <x:c r="G9" s="3" t="str">
        <x:v>Открытое пространство без стены плотного леса</x:v>
      </x:c>
      <x:c r="H9" s="3" t="str">
        <x:v>["S017"]</x:v>
      </x:c>
      <x:c r="I9" s="3" t="str"/>
      <x:c r="J9" s="3" t="str"/>
      <x:c r="K9" s="3" t="str"/>
      <x:c r="L9" s="15" t="b">
        <x:v>0</x:v>
      </x:c>
      <x:c r="M9" s="3" t="str">
        <x:v>Производственная карточка собственной записи; фонограмма отсутствует</x:v>
      </x:c>
      <x:c r="N9" s="3" t="str">
        <x:v>Ничего: прослушивания не было</x:v>
      </x:c>
      <x:c r="O9" s="3" t="str">
        <x:v>Ветер по траве; удаленная работа при событии; село не исчезает мгновенно</x:v>
      </x:c>
      <x:c r="P9" s="3" t="str">
        <x:v>Право включения фонограммы не получено; собственная запись или отдельная лицензия</x:v>
      </x:c>
      <x:c r="Q9" s="15" t="b">
        <x:v>1</x:v>
      </x:c>
      <x:c r="R9" s="3" t="str">
        <x:v>Предложено для игры</x:v>
      </x:c>
      <x:c r="S9" s="3" t="str">
        <x:v>Уровни dB и спектральные параметры не измерены; настраивать после записи</x:v>
      </x:c>
      <x:c r="T9" s="3" t="str">
        <x:v>https://tatarica.org/ru/razdely/municipalnye-obrazovaniya/municipalnye-rajony/arskij-rajon/arskij-rajon-1</x:v>
      </x:c>
    </x:row>
    <x:row r="10" ht="96" customHeight="1">
      <x:c r="A10" s="3" t="str">
        <x:v>AV009</x:v>
      </x:c>
      <x:c r="B10" s="3" t="str">
        <x:v>Опушка</x:v>
      </x:c>
      <x:c r="C10" s="3" t="str">
        <x:v>SC11</x:v>
      </x:c>
      <x:c r="D10" s="3" t="str">
        <x:v>Летнее утро</x:v>
      </x:c>
      <x:c r="E10" s="3" t="str">
        <x:v>Фон; птицы как записываемые кандидаты</x:v>
      </x:c>
      <x:c r="F10" s="3" t="str">
        <x:v>Проверить зяблика/синицу и другие указанные региональные виды; не симулировать факт присутствия</x:v>
      </x:c>
      <x:c r="G10" s="3" t="str">
        <x:v>Кусты, разреженная крона; разное положение птиц</x:v>
      </x:c>
      <x:c r="H10" s="3" t="str">
        <x:v>["S017"]</x:v>
      </x:c>
      <x:c r="I10" s="3" t="str"/>
      <x:c r="J10" s="3" t="str"/>
      <x:c r="K10" s="3" t="str"/>
      <x:c r="L10" s="15" t="b">
        <x:v>0</x:v>
      </x:c>
      <x:c r="M10" s="3" t="str">
        <x:v>Производственная карточка собственной записи; фонограмма отсутствует</x:v>
      </x:c>
      <x:c r="N10" s="3" t="str">
        <x:v>Ничего: прослушивания не было</x:v>
      </x:c>
      <x:c r="O10" s="3" t="str">
        <x:v>Проверить зяблика/синицу и другие указанные региональные виды; не симулировать факт присутствия</x:v>
      </x:c>
      <x:c r="P10" s="3" t="str">
        <x:v>Право включения фонограммы не получено; собственная запись или отдельная лицензия</x:v>
      </x:c>
      <x:c r="Q10" s="15" t="b">
        <x:v>1</x:v>
      </x:c>
      <x:c r="R10" s="3" t="str">
        <x:v>Предложено для игры</x:v>
      </x:c>
      <x:c r="S10" s="3" t="str">
        <x:v>Уровни dB и спектральные параметры не измерены; настраивать после записи</x:v>
      </x:c>
      <x:c r="T10" s="3" t="str">
        <x:v>https://tatarica.org/ru/razdely/municipalnye-obrazovaniya/municipalnye-rajony/arskij-rajon/arskij-rajon-1</x:v>
      </x:c>
    </x:row>
    <x:row r="11" ht="96" customHeight="1">
      <x:c r="A11" s="3" t="str">
        <x:v>AV010</x:v>
      </x:c>
      <x:c r="B11" s="3" t="str">
        <x:v>Лесной фрагмент</x:v>
      </x:c>
      <x:c r="C11" s="3" t="str">
        <x:v>SC12</x:v>
      </x:c>
      <x:c r="D11" s="3" t="str">
        <x:v>Лето/поздняя осень отдельно</x:v>
      </x:c>
      <x:c r="E11" s="3" t="str">
        <x:v>Фон + шаги</x:v>
      </x:c>
      <x:c r="F11" s="3" t="str">
        <x:v>Ветер в кронах, шаги по выбранной подстилке; не одинаковая запись лиственного и хвойного леса</x:v>
      </x:c>
      <x:c r="G11" s="3" t="str">
        <x:v>Преграды стволов и рельефа; без назначенных псевдоизмеренных частот</x:v>
      </x:c>
      <x:c r="H11" s="3" t="str">
        <x:v>["S017", "S027"]</x:v>
      </x:c>
      <x:c r="I11" s="3" t="str"/>
      <x:c r="J11" s="3" t="str"/>
      <x:c r="K11" s="3" t="str"/>
      <x:c r="L11" s="15" t="b">
        <x:v>0</x:v>
      </x:c>
      <x:c r="M11" s="3" t="str">
        <x:v>Производственная карточка собственной записи; фонограмма отсутствует</x:v>
      </x:c>
      <x:c r="N11" s="3" t="str">
        <x:v>Ничего: прослушивания не было</x:v>
      </x:c>
      <x:c r="O11" s="3" t="str">
        <x:v>Ветер в кронах, шаги по выбранной подстилке; не одинаковая запись лиственного и хвойного леса</x:v>
      </x:c>
      <x:c r="P11" s="3" t="str">
        <x:v>Право включения фонограммы не получено; собственная запись или отдельная лицензия</x:v>
      </x:c>
      <x:c r="Q11" s="15" t="b">
        <x:v>1</x:v>
      </x:c>
      <x:c r="R11" s="3" t="str">
        <x:v>Предложено для игры</x:v>
      </x:c>
      <x:c r="S11" s="3" t="str">
        <x:v>Уровни dB и спектральные параметры не измерены; настраивать после записи</x:v>
      </x:c>
      <x:c r="T11" s="3" t="str">
        <x:v>https://tatarica.org/ru/razdely/municipalnye-obrazovaniya/municipalnye-rajony/arskij-rajon/arskij-rajon-1
https://tatarica.org/ru/razdely/priroda/poleznye-iskopaemye/sabinskoe-lesnichestvo</x:v>
      </x:c>
    </x:row>
    <x:row r="12" ht="96" customHeight="1">
      <x:c r="A12" s="3" t="str">
        <x:v>AV011</x:v>
      </x:c>
      <x:c r="B12" s="3" t="str">
        <x:v>Зимний путь к сараю</x:v>
      </x:c>
      <x:c r="C12" s="3" t="str">
        <x:v>H02</x:v>
      </x:c>
      <x:c r="D12" s="3" t="str">
        <x:v>Мороз / оттепель отдельно</x:v>
      </x:c>
      <x:c r="E12" s="3" t="str">
        <x:v>События</x:v>
      </x:c>
      <x:c r="F12" s="3" t="str">
        <x:v>Сухой снег и мокрый снег записываются отдельно; дверь, одежда, дыхание при близком ракурсе</x:v>
      </x:c>
      <x:c r="G12" s="3" t="str">
        <x:v>Близко; дальний поселок не обязан быть полностью немым</x:v>
      </x:c>
      <x:c r="H12" s="3" t="str">
        <x:v>[]</x:v>
      </x:c>
      <x:c r="I12" s="3" t="str"/>
      <x:c r="J12" s="3" t="str"/>
      <x:c r="K12" s="3" t="str"/>
      <x:c r="L12" s="15" t="b">
        <x:v>0</x:v>
      </x:c>
      <x:c r="M12" s="3" t="str">
        <x:v>Производственная карточка собственной записи; фонограмма отсутствует</x:v>
      </x:c>
      <x:c r="N12" s="3" t="str">
        <x:v>Ничего: прослушивания не было</x:v>
      </x:c>
      <x:c r="O12" s="3" t="str">
        <x:v>Сухой снег и мокрый снег записываются отдельно; дверь, одежда, дыхание при близком ракурсе</x:v>
      </x:c>
      <x:c r="P12" s="3" t="str">
        <x:v>Право включения фонограммы не получено; собственная запись или отдельная лицензия</x:v>
      </x:c>
      <x:c r="Q12" s="15" t="b">
        <x:v>1</x:v>
      </x:c>
      <x:c r="R12" s="3" t="str">
        <x:v>Предложено для игры</x:v>
      </x:c>
      <x:c r="S12" s="3" t="str">
        <x:v>Уровни dB и спектральные параметры не измерены; настраивать после записи</x:v>
      </x:c>
      <x:c r="T12" s="3" t="str"/>
    </x:row>
    <x:row r="13" ht="96" customHeight="1">
      <x:c r="A13" s="3" t="str">
        <x:v>AV012</x:v>
      </x:c>
      <x:c r="B13" s="3" t="str">
        <x:v>Магазин и остановка</x:v>
      </x:c>
      <x:c r="C13" s="3" t="str">
        <x:v>SC08</x:v>
      </x:c>
      <x:c r="D13" s="3" t="str">
        <x:v>Рабочие часы</x:v>
      </x:c>
      <x:c r="E13" s="3" t="str">
        <x:v>Фон + речь + транспорт</x:v>
      </x:c>
      <x:c r="F13" s="3" t="str">
        <x:v>Дверь, бытовое оборудование; транспорт прибывает событием, не по выдуманному реальному расписанию</x:v>
      </x:c>
      <x:c r="G13" s="3" t="str">
        <x:v>Навес, тамбур, открытое пространство</x:v>
      </x:c>
      <x:c r="H13" s="3" t="str">
        <x:v>["S015"]</x:v>
      </x:c>
      <x:c r="I13" s="3" t="str"/>
      <x:c r="J13" s="3" t="str"/>
      <x:c r="K13" s="3" t="str"/>
      <x:c r="L13" s="15" t="b">
        <x:v>0</x:v>
      </x:c>
      <x:c r="M13" s="3" t="str">
        <x:v>Производственная карточка собственной записи; фонограмма отсутствует</x:v>
      </x:c>
      <x:c r="N13" s="3" t="str">
        <x:v>Ничего: прослушивания не было</x:v>
      </x:c>
      <x:c r="O13" s="3" t="str">
        <x:v>Дверь, бытовое оборудование; транспорт прибывает событием, не по выдуманному реальному расписанию</x:v>
      </x:c>
      <x:c r="P13" s="3" t="str">
        <x:v>Право включения фонограммы не получено; собственная запись или отдельная лицензия</x:v>
      </x:c>
      <x:c r="Q13" s="15" t="b">
        <x:v>1</x:v>
      </x:c>
      <x:c r="R13" s="3" t="str">
        <x:v>Предложено для игры</x:v>
      </x:c>
      <x:c r="S13" s="3" t="str">
        <x:v>Уровни dB и спектральные параметры не измерены; настраивать после записи</x:v>
      </x:c>
      <x:c r="T13" s="3" t="str">
        <x:v>https://tatarica.org/ru/razdely/municipalnye-obrazovaniya/municipalnye-rajony/arskij-rajon/novyj-kyrlaj</x:v>
      </x:c>
    </x:row>
    <x:row r="14" ht="96" customHeight="1">
      <x:c r="A14" s="3" t="str">
        <x:v>AV013</x:v>
      </x:c>
      <x:c r="B14" s="3" t="str">
        <x:v>Радио и телевизионная среда</x:v>
      </x:c>
      <x:c r="C14" s="3" t="str">
        <x:v>Дом/автомобиль</x:v>
      </x:c>
      <x:c r="D14" s="3" t="str">
        <x:v>2015</x:v>
      </x:c>
      <x:c r="E14" s="3" t="str">
        <x:v>Внутримировая запись</x:v>
      </x:c>
      <x:c r="F14" s="3" t="str">
        <x:v>Оригинальный текст передачи/музыка с правами; не копировать действующий эфир без лицензии</x:v>
      </x:c>
      <x:c r="G14" s="3" t="str">
        <x:v>Из приемника и через дверь/окно</x:v>
      </x:c>
      <x:c r="H14" s="3" t="str">
        <x:v>["S036"]</x:v>
      </x:c>
      <x:c r="I14" s="3" t="str">
        <x:v>https://tnv.ru/about/</x:v>
      </x:c>
      <x:c r="J14" s="3" t="str"/>
      <x:c r="K14" s="3" t="str"/>
      <x:c r="L14" s="15" t="b">
        <x:v>0</x:v>
      </x:c>
      <x:c r="M14" s="3" t="str">
        <x:v>Кандидат по метаданным; не прослушано</x:v>
      </x:c>
      <x:c r="N14" s="3" t="str">
        <x:v>Ничего: прослушивания не было</x:v>
      </x:c>
      <x:c r="O14" s="3" t="str">
        <x:v>Оригинальный текст передачи/музыка с правами; не копировать действующий эфир без лицензии</x:v>
      </x:c>
      <x:c r="P14" s="3" t="str">
        <x:v>Право включения фонограммы не получено; собственная запись или отдельная лицензия</x:v>
      </x:c>
      <x:c r="Q14" s="15" t="b">
        <x:v>1</x:v>
      </x:c>
      <x:c r="R14" s="3" t="str">
        <x:v>Не установлено</x:v>
      </x:c>
      <x:c r="S14" s="3" t="str">
        <x:v>Уровни dB и спектральные параметры не измерены; настраивать после записи</x:v>
      </x:c>
      <x:c r="T14" s="3" t="str">
        <x:v>https://tnv.ru/about/</x:v>
      </x:c>
    </x:row>
    <x:row r="15" ht="96" customHeight="1">
      <x:c r="A15" s="3" t="str">
        <x:v>AV014</x:v>
      </x:c>
      <x:c r="B15" s="3" t="str">
        <x:v>Чтение Шурале, часть 1</x:v>
      </x:c>
      <x:c r="C15" s="3" t="str">
        <x:v>Не установлено</x:v>
      </x:c>
      <x:c r="D15" s="3" t="str">
        <x:v>Не установлено</x:v>
      </x:c>
      <x:c r="E15" s="3" t="str">
        <x:v>Видеокандидат</x:v>
      </x:c>
      <x:c r="F15" s="3" t="str">
        <x:v>Сначала проверить язык, исполнение, монтаж, таймкоды и права</x:v>
      </x:c>
      <x:c r="G15" s="3" t="str">
        <x:v>Не установлено</x:v>
      </x:c>
      <x:c r="H15" s="3" t="str">
        <x:v>["S037"]</x:v>
      </x:c>
      <x:c r="I15" s="3" t="str">
        <x:v>https://www.youtube.com/watch?v=jgc8aln7CI8</x:v>
      </x:c>
      <x:c r="J15" s="3" t="str"/>
      <x:c r="K15" s="3" t="str"/>
      <x:c r="L15" s="15" t="b">
        <x:v>0</x:v>
      </x:c>
      <x:c r="M15" s="3" t="str">
        <x:v>Кандидат по метаданным; не прослушано</x:v>
      </x:c>
      <x:c r="N15" s="3" t="str">
        <x:v>Ничего: прослушивания не было</x:v>
      </x:c>
      <x:c r="O15" s="3" t="str">
        <x:v>Сначала проверить язык, исполнение, монтаж, таймкоды и права</x:v>
      </x:c>
      <x:c r="P15" s="3" t="str">
        <x:v>Право включения фонограммы не получено; собственная запись или отдельная лицензия</x:v>
      </x:c>
      <x:c r="Q15" s="15" t="b">
        <x:v>1</x:v>
      </x:c>
      <x:c r="R15" s="3" t="str">
        <x:v>Не установлено</x:v>
      </x:c>
      <x:c r="S15" s="3" t="str">
        <x:v>Уровни dB и спектральные параметры не измерены; настраивать после записи</x:v>
      </x:c>
      <x:c r="T15" s="3" t="str">
        <x:v>https://www.youtube.com/watch?v=jgc8aln7CI8</x:v>
      </x:c>
    </x:row>
    <x:row r="16" ht="96" customHeight="1">
      <x:c r="A16" s="3" t="str">
        <x:v>AV015</x:v>
      </x:c>
      <x:c r="B16" s="3" t="str">
        <x:v>Архив традиционной культуры</x:v>
      </x:c>
      <x:c r="C16" s="3" t="str">
        <x:v>Учреждение</x:v>
      </x:c>
      <x:c r="D16" s="3" t="str">
        <x:v>Разные периоды</x:v>
      </x:c>
      <x:c r="E16" s="3" t="str">
        <x:v>Поисковое направление</x:v>
      </x:c>
      <x:c r="F16" s="3" t="str">
        <x:v>Запросить полевую запись с паспортом, а не сценический сборный концерт</x:v>
      </x:c>
      <x:c r="G16" s="3" t="str">
        <x:v>Не установлено</x:v>
      </x:c>
      <x:c r="H16" s="3" t="str">
        <x:v>["S035"]</x:v>
      </x:c>
      <x:c r="I16" s="3" t="str">
        <x:v>https://tatcultresurs.ru/gbu-tatkultresurscentr</x:v>
      </x:c>
      <x:c r="J16" s="3" t="str"/>
      <x:c r="K16" s="3" t="str"/>
      <x:c r="L16" s="15" t="b">
        <x:v>0</x:v>
      </x:c>
      <x:c r="M16" s="3" t="str">
        <x:v>Кандидат по метаданным; не прослушано</x:v>
      </x:c>
      <x:c r="N16" s="3" t="str">
        <x:v>Ничего: прослушивания не было</x:v>
      </x:c>
      <x:c r="O16" s="3" t="str">
        <x:v>Запросить полевую запись с паспортом, а не сценический сборный концерт</x:v>
      </x:c>
      <x:c r="P16" s="3" t="str">
        <x:v>Право включения фонограммы не получено; собственная запись или отдельная лицензия</x:v>
      </x:c>
      <x:c r="Q16" s="15" t="b">
        <x:v>1</x:v>
      </x:c>
      <x:c r="R16" s="3" t="str">
        <x:v>Не установлено</x:v>
      </x:c>
      <x:c r="S16" s="3" t="str">
        <x:v>Уровни dB и спектральные параметры не измерены; настраивать после записи</x:v>
      </x:c>
      <x:c r="T16" s="3" t="str">
        <x:v>https://tatcultresurs.ru/gbu-tatkultresurscentr</x:v>
      </x:c>
    </x:row>
    <x:row r="17" ht="96" customHeight="1">
      <x:c r="A17" s="3" t="str">
        <x:v>AV016</x:v>
      </x:c>
      <x:c r="B17" s="3" t="str">
        <x:v>Голос Шурале</x:v>
      </x:c>
      <x:c r="C17" s="3" t="str">
        <x:v>Художественная сцена</x:v>
      </x:c>
      <x:c r="D17" s="3" t="str">
        <x:v>По выбранной интерпретации</x:v>
      </x:c>
      <x:c r="E17" s="3" t="str">
        <x:v>Событие</x:v>
      </x:c>
      <x:c r="F17" s="3" t="str">
        <x:v>Оригинальная актерская речь: осмысленное обращение, смех, боль/раздражение; не этнографическая фонограмма</x:v>
      </x:c>
      <x:c r="G17" s="3" t="str">
        <x:v>Положение существа проверяется сценой, не случайный звук со всех сторон</x:v>
      </x:c>
      <x:c r="H17" s="3" t="str">
        <x:v>["S031"]</x:v>
      </x:c>
      <x:c r="I17" s="3" t="str"/>
      <x:c r="J17" s="3" t="str"/>
      <x:c r="K17" s="3" t="str"/>
      <x:c r="L17" s="15" t="b">
        <x:v>0</x:v>
      </x:c>
      <x:c r="M17" s="3" t="str">
        <x:v>Производственная карточка собственной записи; фонограмма отсутствует</x:v>
      </x:c>
      <x:c r="N17" s="3" t="str">
        <x:v>Ничего: прослушивания не было</x:v>
      </x:c>
      <x:c r="O17" s="3" t="str">
        <x:v>Оригинальная актерская речь: осмысленное обращение, смех, боль/раздражение; не этнографическая фонограмма</x:v>
      </x:c>
      <x:c r="P17" s="3" t="str">
        <x:v>Право включения фонограммы не получено; собственная запись или отдельная лицензия</x:v>
      </x:c>
      <x:c r="Q17" s="15" t="b">
        <x:v>1</x:v>
      </x:c>
      <x:c r="R17" s="3" t="str">
        <x:v>Предложено для игры</x:v>
      </x:c>
      <x:c r="S17" s="3" t="str">
        <x:v>Уровни dB и спектральные параметры не измерены; настраивать после записи</x:v>
      </x:c>
      <x:c r="T17" s="3" t="str">
        <x:v>https://tugan-tel.tatar/adabiyat/shigriyat/Gabdulla_Tukai/shurale.pdf</x:v>
      </x:c>
    </x:row>
  </x:sheetData>
  <x:conditionalFormatting sqref="R2:R17">
    <x:cfRule type="expression" dxfId="14" priority="1">
      <x:formula>R2="Предложено для игры"</x:formula>
    </x:cfRule>
    <x:cfRule type="expression" dxfId="15" priority="2">
      <x:formula>R2="Не установлено"</x:formula>
    </x:cfRule>
  </x:conditionalFormatting>
  <x:dataValidations count="1">
    <x:dataValidation type="list" sqref="R2:R17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decbbb41b647a5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23" hidden="0" customWidth="1"/>
    <x:col min="4" max="4" width="34" hidden="0" customWidth="1"/>
    <x:col min="5" max="5" width="40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23" hidden="0" customWidth="1"/>
    <x:col min="17" max="17" width="23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40" hidden="0" customWidth="1"/>
  </x:cols>
  <x:sheetData>
    <x:row r="1" ht="42" customHeight="1">
      <x:c r="A1" s="8" t="str">
        <x:v>scene_id</x:v>
      </x:c>
      <x:c r="B1" s="8" t="str">
        <x:v>name</x:v>
      </x:c>
      <x:c r="C1" s="8" t="str">
        <x:v>evidence_status</x:v>
      </x:c>
      <x:c r="D1" s="8" t="str">
        <x:v>time_anchor</x:v>
      </x:c>
      <x:c r="E1" s="8" t="str">
        <x:v>spatial_layout</x:v>
      </x:c>
      <x:c r="F1" s="8" t="str">
        <x:v>observed_dimensions</x:v>
      </x:c>
      <x:c r="G1" s="8" t="str">
        <x:v>proposed_dimensions</x:v>
      </x:c>
      <x:c r="H1" s="8" t="str">
        <x:v>critical_assets</x:v>
      </x:c>
      <x:c r="I1" s="8" t="str">
        <x:v>desired_assets</x:v>
      </x:c>
      <x:c r="J1" s="8" t="str">
        <x:v>optional_assets</x:v>
      </x:c>
      <x:c r="K1" s="8" t="str">
        <x:v>spatial_dependencies</x:v>
      </x:c>
      <x:c r="L1" s="8" t="str">
        <x:v>materials</x:v>
      </x:c>
      <x:c r="M1" s="8" t="str">
        <x:v>vegetation</x:v>
      </x:c>
      <x:c r="N1" s="8" t="str">
        <x:v>wear</x:v>
      </x:c>
      <x:c r="O1" s="8" t="str">
        <x:v>seasonal_variants</x:v>
      </x:c>
      <x:c r="P1" s="8" t="str">
        <x:v>sound_ids</x:v>
      </x:c>
      <x:c r="Q1" s="8" t="str">
        <x:v>source_ids</x:v>
      </x:c>
      <x:c r="R1" s="8" t="str">
        <x:v>visual_reference_notes</x:v>
      </x:c>
      <x:c r="S1" s="8" t="str">
        <x:v>connected_scenes</x:v>
      </x:c>
      <x:c r="T1" s="8" t="str">
        <x:v>diagram_path</x:v>
      </x:c>
      <x:c r="U1" s="8" t="str">
        <x:v>shurale_variant</x:v>
      </x:c>
      <x:c r="V1" s="8" t="str">
        <x:v>source_urls</x:v>
      </x:c>
    </x:row>
    <x:row r="2" ht="96" customHeight="1">
      <x:c r="A2" s="3" t="str">
        <x:v>SC01</x:v>
      </x:c>
      <x:c r="B2" s="3" t="str">
        <x:v>Въезд и первый вид деревни</x:v>
      </x:c>
      <x:c r="C2" s="3" t="str">
        <x:v>Предложено для игры</x:v>
      </x:c>
      <x:c r="D2" s="3" t="str">
        <x:v>2015 ±1</x:v>
      </x:c>
      <x:c r="E2" s="3" t="str">
        <x:v>Переход подъездной дороги к ST01; предлагаемый видимый участок 160 м</x:v>
      </x:c>
      <x:c r="F2" s="3" t="str"/>
      <x:c r="G2" s="3" t="str">
        <x:v>Переход подъездной дороги к ST01; предлагаемый видимый участок 160 м</x:v>
      </x:c>
      <x:c r="H2" s="3" t="str">
        <x:v>["A001", "A002", "A005", "A011"]</x:v>
      </x:c>
      <x:c r="I2" s="3" t="str">
        <x:v>["A048", "A054"]</x:v>
      </x:c>
      <x:c r="J2" s="3" t="str">
        <x:v>Добавлять только по биографии хозяйства и без блокировки проходов</x:v>
      </x:c>
      <x:c r="K2" s="3" t="str">
        <x:v>Линия полей и домов открыта; лесной фрагмент виден отдельно, не кольцом стен</x:v>
      </x:c>
      <x:c r="L2" s="3" t="str">
        <x:v>Материалы и износ — карточки соответствующих A-ID</x:v>
      </x:c>
      <x:c r="M2" s="3" t="str">
        <x:v>P-ID и сезонный атлас; точные садовые виды требуют проверки</x:v>
      </x:c>
      <x:c r="N2" s="3" t="str">
        <x:v>Касание, сток и движение; см. A-ID</x:v>
      </x:c>
      <x:c r="O2" s="3" t="str">
        <x:v>Дорога тверже края; снегоуборка зимой меняет ширину прохода</x:v>
      </x:c>
      <x:c r="P2" s="3" t="str">
        <x:v>["AV001", "AV008"]</x:v>
      </x:c>
      <x:c r="Q2" s="3" t="str">
        <x:v>["S015", "S016", "S017", "S014"]</x:v>
      </x:c>
      <x:c r="R2" s="3" t="str">
        <x:v>V001</x:v>
      </x:c>
      <x:c r="S2" s="3" t="str">
        <x:v>["SC02", "SC08"]</x:v>
      </x:c>
      <x:c r="T2" s="3" t="str">
        <x:v>diagrams/village/village_structure.svg</x:v>
      </x:c>
      <x:c r="U2" s="3" t="str"/>
      <x:c r="V2" s="3" t="str">
        <x:v>https://tatarica.org/ru/razdely/municipalnye-obrazovaniya/municipalnye-rajony/arskij-rajon/novyj-kyrlaj
https://tatarica.org/ru/razdely/priroda/gidrograficheskaya-set/reki/iya
https://tatarica.org/ru/razdely/municipalnye-obrazovaniya/municipalnye-rajony/arskij-rajon/arskij-rajon-1
https://historicalethnology.org/news/2024-t9-n2-10/</x:v>
      </x:c>
    </x:row>
    <x:row r="3" ht="96" customHeight="1">
      <x:c r="A3" s="3" t="str">
        <x:v>SC02</x:v>
      </x:c>
      <x:c r="B3" s="3" t="str">
        <x:v>Жилая улица ST01</x:v>
      </x:c>
      <x:c r="C3" s="3" t="str">
        <x:v>Предложено для игры</x:v>
      </x:c>
      <x:c r="D3" s="3" t="str">
        <x:v>2015 ±1</x:v>
      </x:c>
      <x:c r="E3" s="3" t="str">
        <x:v>16 м ограждение–ограждение; 22 м фасад–фасад только при палисадниках 3+3 м</x:v>
      </x:c>
      <x:c r="F3" s="3" t="str"/>
      <x:c r="G3" s="3" t="str">
        <x:v>16 м ограждение–ограждение; 22 м фасад–фасад только при палисадниках 3+3 м</x:v>
      </x:c>
      <x:c r="H3" s="3" t="str">
        <x:v>["A001", "A002", "A003", "A004", "A005", "A008"]</x:v>
      </x:c>
      <x:c r="I3" s="3" t="str">
        <x:v>["A006", "A011"]</x:v>
      </x:c>
      <x:c r="J3" s="3" t="str">
        <x:v>Добавлять только по биографии хозяйства и без блокировки проходов</x:v>
      </x:c>
      <x:c r="K3" s="3" t="str">
        <x:v>Разные поколения ремонта; ворота соотносятся с переездом, не с деревом</x:v>
      </x:c>
      <x:c r="L3" s="3" t="str">
        <x:v>Материалы и износ — карточки соответствующих A-ID</x:v>
      </x:c>
      <x:c r="M3" s="3" t="str">
        <x:v>P-ID и сезонный атлас; точные садовые виды требуют проверки</x:v>
      </x:c>
      <x:c r="N3" s="3" t="str">
        <x:v>Касание, сток и движение; см. A-ID</x:v>
      </x:c>
      <x:c r="O3" s="3" t="str">
        <x:v>Влага у низких точек, снег у ограждений; не ровная маска на всей улице</x:v>
      </x:c>
      <x:c r="P3" s="3" t="str">
        <x:v>["AV001", "AV002"]</x:v>
      </x:c>
      <x:c r="Q3" s="3" t="str">
        <x:v>["S101", "S014"]</x:v>
      </x:c>
      <x:c r="R3" s="3" t="str">
        <x:v>V001</x:v>
      </x:c>
      <x:c r="S3" s="3" t="str">
        <x:v>["SC01", "SC03", "SC08"]</x:v>
      </x:c>
      <x:c r="T3" s="3" t="str">
        <x:v>diagrams/streets/street_profiles.svg</x:v>
      </x:c>
      <x:c r="U3" s="3" t="str"/>
      <x:c r="V3" s="3" t="str">
        <x:v>https://commons.wikimedia.org/wiki/File:New_Kyrlai_(2021-04-26)_01.jpg
https://historicalethnology.org/news/2024-t9-n2-10/</x:v>
      </x:c>
    </x:row>
    <x:row r="4" ht="96" customHeight="1">
      <x:c r="A4" s="3" t="str">
        <x:v>SC03</x:v>
      </x:c>
      <x:c r="B4" s="3" t="str">
        <x:v>Калитка и палисадник</x:v>
      </x:c>
      <x:c r="C4" s="3" t="str">
        <x:v>Предложено для игры</x:v>
      </x:c>
      <x:c r="D4" s="3" t="str">
        <x:v>2015 ±1</x:v>
      </x:c>
      <x:c r="E4" s="3" t="str">
        <x:v>Фронт цветника H02 10 м, глубина 3 м; калитка 1 м, ворота 3,5 м — проект</x:v>
      </x:c>
      <x:c r="F4" s="3" t="str"/>
      <x:c r="G4" s="3" t="str">
        <x:v>Фронт цветника H02 10 м, глубина 3 м; калитка 1 м, ворота 3,5 м — проект</x:v>
      </x:c>
      <x:c r="H4" s="3" t="str">
        <x:v>["A009", "A010", "A011", "A043"]</x:v>
      </x:c>
      <x:c r="I4" s="3" t="str">
        <x:v>["A007", "A008", "A044"]</x:v>
      </x:c>
      <x:c r="J4" s="3" t="str">
        <x:v>Добавлять только по биографии хозяйства и без блокировки проходов</x:v>
      </x:c>
      <x:c r="K4" s="3" t="str">
        <x:v>Дорожка к сеням не идет через клумбу; видимость окна частично меняется листвой</x:v>
      </x:c>
      <x:c r="L4" s="3" t="str">
        <x:v>Материалы и износ — карточки соответствующих A-ID</x:v>
      </x:c>
      <x:c r="M4" s="3" t="str">
        <x:v>P-ID и сезонный атлас; точные садовые виды требуют проверки</x:v>
      </x:c>
      <x:c r="N4" s="3" t="str">
        <x:v>Касание, сток и движение; см. A-ID</x:v>
      </x:c>
      <x:c r="O4" s="3" t="str">
        <x:v>Весной видно ветвление, летом больше закрыто; поздней осенью не все цветы продолжают цвести</x:v>
      </x:c>
      <x:c r="P4" s="3" t="str">
        <x:v>["AV002"]</x:v>
      </x:c>
      <x:c r="Q4" s="3" t="str">
        <x:v>["S101", "S010"]</x:v>
      </x:c>
      <x:c r="R4" s="3" t="str">
        <x:v>V001</x:v>
      </x:c>
      <x:c r="S4" s="3" t="str">
        <x:v>["SC02", "SC04"]</x:v>
      </x:c>
      <x:c r="T4" s="3" t="str">
        <x:v>diagrams/homesteads/H02_lot.svg</x:v>
      </x:c>
      <x:c r="U4" s="3" t="str">
        <x:v>Отдельная художественная вариация: необычная речь/пауза/поведение без превращения обычного быта в этнический хоррор</x:v>
      </x:c>
      <x:c r="V4" s="3" t="str">
        <x:v>https://commons.wikimedia.org/wiki/File:New_Kyrlai_(2021-04-26)_01.jpg
https://almet-history.tatneft.ru/istoriya/traditsionnaya-kultura/remesla-i-narodnoe-iskusstvo/d-k/ihata?lang=ru</x:v>
      </x:c>
    </x:row>
    <x:row r="5" ht="96" customHeight="1">
      <x:c r="A5" s="3" t="str">
        <x:v>SC04</x:v>
      </x:c>
      <x:c r="B5" s="3" t="str">
        <x:v>Семейный двор H02</x:v>
      </x:c>
      <x:c r="C5" s="3" t="str">
        <x:v>Предложено для игры</x:v>
      </x:c>
      <x:c r="D5" s="3" t="str">
        <x:v>2015 ±1</x:v>
      </x:c>
      <x:c r="E5" s="3" t="str">
        <x:v>Участок 22×55 м; дом x=3…13,y=3…11; сени x=13…16,y=5…9</x:v>
      </x:c>
      <x:c r="F5" s="3" t="str"/>
      <x:c r="G5" s="3" t="str">
        <x:v>Участок 22×55 м; дом x=3…13,y=3…11; сени x=13…16,y=5…9</x:v>
      </x:c>
      <x:c r="H5" s="3" t="str">
        <x:v>["A012", "A015", "A016", "A017", "A039", "A041"]</x:v>
      </x:c>
      <x:c r="I5" s="3" t="str">
        <x:v>["A038", "A040", "A044"]</x:v>
      </x:c>
      <x:c r="J5" s="3" t="str">
        <x:v>Добавлять только по биографии хозяйства и без блокировки проходов</x:v>
      </x:c>
      <x:c r="K5" s="3" t="str">
        <x:v>Проездная полоса справа 5 м; огород y=32…52; люди могут пройти к бане без обхода дома через улицу</x:v>
      </x:c>
      <x:c r="L5" s="3" t="str">
        <x:v>Материалы и износ — карточки соответствующих A-ID</x:v>
      </x:c>
      <x:c r="M5" s="3" t="str">
        <x:v>P-ID и сезонный атлас; точные садовые виды требуют проверки</x:v>
      </x:c>
      <x:c r="N5" s="3" t="str">
        <x:v>Касание, сток и движение; см. A-ID</x:v>
      </x:c>
      <x:c r="O5" s="3" t="str">
        <x:v>Вода у выпуска и въезда; чистый путь к сеням и более грубый к сараю</x:v>
      </x:c>
      <x:c r="P5" s="3" t="str">
        <x:v>["AV002", "AV005"]</x:v>
      </x:c>
      <x:c r="Q5" s="3" t="str">
        <x:v>["S010", "S011", "S101"]</x:v>
      </x:c>
      <x:c r="R5" s="3" t="str">
        <x:v>V001;V013</x:v>
      </x:c>
      <x:c r="S5" s="3" t="str">
        <x:v>["SC03", "SC05", "SC07", "SC10"]</x:v>
      </x:c>
      <x:c r="T5" s="3" t="str">
        <x:v>diagrams/homesteads/H02_lot.svg</x:v>
      </x:c>
      <x:c r="U5" s="3" t="str"/>
      <x:c r="V5" s="3" t="str">
        <x:v>https://almet-history.tatneft.ru/istoriya/traditsionnaya-kultura/remesla-i-narodnoe-iskusstvo/d-k/ihata?lang=ru
https://almet-history.tatneft.ru/istoriya/traditsionnaya-kultura/remesla-i-narodnoe-iskusstvo/d-k/zhilishche-narodnoe?lang=ru
https://commons.wikimedia.org/wiki/File:New_Kyrlai_(2021-04-26)_01.jpg</x:v>
      </x:c>
    </x:row>
    <x:row r="6" ht="96" customHeight="1">
      <x:c r="A6" s="3" t="str">
        <x:v>SC05</x:v>
      </x:c>
      <x:c r="B6" s="3" t="str">
        <x:v>Сени и кухня H02</x:v>
      </x:c>
      <x:c r="C6" s="3" t="str">
        <x:v>Предложено для игры</x:v>
      </x:c>
      <x:c r="D6" s="3" t="str">
        <x:v>2015 ±1</x:v>
      </x:c>
      <x:c r="E6" s="3" t="str">
        <x:v>Корпус 10×8 м; сени 3×4 м; кухня по осям 3,5×3 м — проект, не чистовая площадь</x:v>
      </x:c>
      <x:c r="F6" s="3" t="str"/>
      <x:c r="G6" s="3" t="str">
        <x:v>Корпус 10×8 м; сени 3×4 м; кухня по осям 3,5×3 м — проект, не чистовая площадь</x:v>
      </x:c>
      <x:c r="H6" s="3" t="str">
        <x:v>["A016", "A018", "A019", "A020", "A021", "A022", "A023"]</x:v>
      </x:c>
      <x:c r="I6" s="3" t="str">
        <x:v>["A024", "A031"]</x:v>
      </x:c>
      <x:c r="J6" s="3" t="str">
        <x:v>Добавлять только по биографии хозяйства и без блокировки проходов</x:v>
      </x:c>
      <x:c r="K6" s="3" t="str">
        <x:v>Дверь из сеней ведет в связующую зону; кухня справа спереди, ее фронтальное окно видно с улицы</x:v>
      </x:c>
      <x:c r="L6" s="3" t="str">
        <x:v>Материалы и износ — карточки соответствующих A-ID</x:v>
      </x:c>
      <x:c r="M6" s="3" t="str">
        <x:v>P-ID и сезонный атлас; точные садовые виды требуют проверки</x:v>
      </x:c>
      <x:c r="N6" s="3" t="str">
        <x:v>Касание, сток и движение; см. A-ID</x:v>
      </x:c>
      <x:c r="O6" s="3" t="str">
        <x:v>Зимой грязь остается у наружного входа; летом открытое окно меняет звук, но не весь дом распахнут</x:v>
      </x:c>
      <x:c r="P6" s="3" t="str">
        <x:v>["AV003", "AV002"]</x:v>
      </x:c>
      <x:c r="Q6" s="3" t="str">
        <x:v>["S008", "S011", "S013"]</x:v>
      </x:c>
      <x:c r="R6" s="3" t="str">
        <x:v>V004 как исторический контраст, не современный образец</x:v>
      </x:c>
      <x:c r="S6" s="3" t="str">
        <x:v>["SC04", "SC06"]</x:v>
      </x:c>
      <x:c r="T6" s="3" t="str">
        <x:v>diagrams/interiors/H02_plan.svg</x:v>
      </x:c>
      <x:c r="U6" s="3" t="str"/>
      <x:c r="V6" s="3" t="str">
        <x:v>https://cheloveknauka.com/interier-zhilischa-volgo-uralskih-tatar-razvitie-i-etnokulturnaya-spetsifika
https://almet-history.tatneft.ru/istoriya/traditsionnaya-kultura/remesla-i-narodnoe-iskusstvo/d-k/zhilishche-narodnoe?lang=ru
https://historicalethnology.org/news/2024-t9-n2-4/</x:v>
      </x:c>
    </x:row>
    <x:row r="7" ht="96" customHeight="1">
      <x:c r="A7" s="3" t="str">
        <x:v>SC06</x:v>
      </x:c>
      <x:c r="B7" s="3" t="str">
        <x:v>Жилая комната H02</x:v>
      </x:c>
      <x:c r="C7" s="3" t="str">
        <x:v>Предложено для игры</x:v>
      </x:c>
      <x:c r="D7" s="3" t="str">
        <x:v>2015 ±1</x:v>
      </x:c>
      <x:c r="E7" s="3" t="str">
        <x:v>Левая передняя зона 5×4 м по осям; два фронтальных окна; вход из связующей зоны</x:v>
      </x:c>
      <x:c r="F7" s="3" t="str"/>
      <x:c r="G7" s="3" t="str">
        <x:v>Левая передняя зона 5×4 м по осям; два фронтальных окна; вход из связующей зоны</x:v>
      </x:c>
      <x:c r="H7" s="3" t="str">
        <x:v>["A025", "A029", "A030"]</x:v>
      </x:c>
      <x:c r="I7" s="3" t="str">
        <x:v>["A026", "A028", "A032", "A034"]</x:v>
      </x:c>
      <x:c r="J7" s="3" t="str">
        <x:v>Добавлять только по биографии хозяйства и без блокировки проходов</x:v>
      </x:c>
      <x:c r="K7" s="3" t="str">
        <x:v>Экран виден с дивана; стол имеет подход; семейное фото не изображает реальных владельцев</x:v>
      </x:c>
      <x:c r="L7" s="3" t="str">
        <x:v>Материалы и износ — карточки соответствующих A-ID</x:v>
      </x:c>
      <x:c r="M7" s="3" t="str">
        <x:v>P-ID и сезонный атлас; точные садовые виды требуют проверки</x:v>
      </x:c>
      <x:c r="N7" s="3" t="str">
        <x:v>Касание, сток и движение; см. A-ID</x:v>
      </x:c>
      <x:c r="O7" s="3" t="str">
        <x:v>Зимние занавески и свет; теплое окно не означает яркий свет в каждом доме</x:v>
      </x:c>
      <x:c r="P7" s="3" t="str">
        <x:v>["AV004"]</x:v>
      </x:c>
      <x:c r="Q7" s="3" t="str">
        <x:v>["S008", "S013", "S036"]</x:v>
      </x:c>
      <x:c r="R7" s="3" t="str">
        <x:v>V003 — только принцип складывания текстиля</x:v>
      </x:c>
      <x:c r="S7" s="3" t="str">
        <x:v>["SC05"]</x:v>
      </x:c>
      <x:c r="T7" s="3" t="str">
        <x:v>diagrams/interiors/H02_plan.svg</x:v>
      </x:c>
      <x:c r="U7" s="3" t="str">
        <x:v>Отдельная художественная вариация: необычная речь/пауза/поведение без превращения обычного быта в этнический хоррор</x:v>
      </x:c>
      <x:c r="V7" s="3" t="str">
        <x:v>https://cheloveknauka.com/interier-zhilischa-volgo-uralskih-tatar-razvitie-i-etnokulturnaya-spetsifika
https://historicalethnology.org/news/2024-t9-n2-4/
https://tnv.ru/about/</x:v>
      </x:c>
    </x:row>
    <x:row r="8" ht="96" customHeight="1">
      <x:c r="A8" s="3" t="str">
        <x:v>SC07</x:v>
      </x:c>
      <x:c r="B8" s="3" t="str">
        <x:v>Баня и хозяйственный сарай</x:v>
      </x:c>
      <x:c r="C8" s="3" t="str">
        <x:v>Предложено для игры</x:v>
      </x:c>
      <x:c r="D8" s="3" t="str">
        <x:v>2015 ±1</x:v>
      </x:c>
      <x:c r="E8" s="3" t="str">
        <x:v>Баня 4×5 м проект, сарай 7×8 м проект; отдельные входы со двора</x:v>
      </x:c>
      <x:c r="F8" s="3" t="str"/>
      <x:c r="G8" s="3" t="str">
        <x:v>Баня 4×5 м проект, сарай 7×8 м проект; отдельные входы со двора</x:v>
      </x:c>
      <x:c r="H8" s="3" t="str">
        <x:v>["A038", "A039", "A040"]</x:v>
      </x:c>
      <x:c r="I8" s="3" t="str">
        <x:v>["A045"]</x:v>
      </x:c>
      <x:c r="J8" s="3" t="str">
        <x:v>Добавлять только по биографии хозяйства и без блокировки проходов</x:v>
      </x:c>
      <x:c r="K8" s="3" t="str">
        <x:v>Дрова сухо хранятся под навесом; инструменты не образуют музейный ряд</x:v>
      </x:c>
      <x:c r="L8" s="3" t="str">
        <x:v>Материалы и износ — карточки соответствующих A-ID</x:v>
      </x:c>
      <x:c r="M8" s="3" t="str">
        <x:v>P-ID и сезонный атлас; точные садовые виды требуют проверки</x:v>
      </x:c>
      <x:c r="N8" s="3" t="str">
        <x:v>Касание, сток и движение; см. A-ID</x:v>
      </x:c>
      <x:c r="O8" s="3" t="str">
        <x:v>Топка и мойка — событие; зимой тропа к используемой постройке расчищена</x:v>
      </x:c>
      <x:c r="P8" s="3" t="str">
        <x:v>["AV006", "AV005"]</x:v>
      </x:c>
      <x:c r="Q8" s="3" t="str">
        <x:v>["S010", "S011"]</x:v>
      </x:c>
      <x:c r="R8" s="3" t="str">
        <x:v>V012;V014 — только исторический музейный контраст</x:v>
      </x:c>
      <x:c r="S8" s="3" t="str">
        <x:v>["SC04"]</x:v>
      </x:c>
      <x:c r="T8" s="3" t="str">
        <x:v>diagrams/homesteads/H02_lot.svg</x:v>
      </x:c>
      <x:c r="U8" s="3" t="str"/>
      <x:c r="V8" s="3" t="str">
        <x:v>https://almet-history.tatneft.ru/istoriya/traditsionnaya-kultura/remesla-i-narodnoe-iskusstvo/d-k/ihata?lang=ru
https://almet-history.tatneft.ru/istoriya/traditsionnaya-kultura/remesla-i-narodnoe-iskusstvo/d-k/zhilishche-narodnoe?lang=ru</x:v>
      </x:c>
    </x:row>
    <x:row r="9" ht="96" customHeight="1">
      <x:c r="A9" s="3" t="str">
        <x:v>SC08</x:v>
      </x:c>
      <x:c r="B9" s="3" t="str">
        <x:v>Небольшой общественный узел</x:v>
      </x:c>
      <x:c r="C9" s="3" t="str">
        <x:v>Предложено для игры</x:v>
      </x:c>
      <x:c r="D9" s="3" t="str">
        <x:v>2015 ±1</x:v>
      </x:c>
      <x:c r="E9" s="3" t="str">
        <x:v>Магазин, остановка и подход; площадка 30×24 м — проект</x:v>
      </x:c>
      <x:c r="F9" s="3" t="str"/>
      <x:c r="G9" s="3" t="str">
        <x:v>Магазин, остановка и подход; площадка 30×24 м — проект</x:v>
      </x:c>
      <x:c r="H9" s="3" t="str">
        <x:v>["A047", "A048"]</x:v>
      </x:c>
      <x:c r="I9" s="3" t="str">
        <x:v>["A046", "A049", "A050"]</x:v>
      </x:c>
      <x:c r="J9" s="3" t="str">
        <x:v>Добавлять только по биографии хозяйства и без блокировки проходов</x:v>
      </x:c>
      <x:c r="K9" s="3" t="str">
        <x:v>Подъезд и разгрузка не перекрывают весь тротуар; школа не обязательна в игровом масштабе</x:v>
      </x:c>
      <x:c r="L9" s="3" t="str">
        <x:v>Материалы и износ — карточки соответствующих A-ID</x:v>
      </x:c>
      <x:c r="M9" s="3" t="str">
        <x:v>P-ID и сезонный атлас; точные садовые виды требуют проверки</x:v>
      </x:c>
      <x:c r="N9" s="3" t="str">
        <x:v>Касание, сток и движение; см. A-ID</x:v>
      </x:c>
      <x:c r="O9" s="3" t="str">
        <x:v>Снег убирают к краю, а не внутрь входа; объявления меняются по событию</x:v>
      </x:c>
      <x:c r="P9" s="3" t="str">
        <x:v>["AV012"]</x:v>
      </x:c>
      <x:c r="Q9" s="3" t="str">
        <x:v>["S015", "S022", "S014"]</x:v>
      </x:c>
      <x:c r="R9" s="3" t="str">
        <x:v>Нет подходящего локального документального ракурса в сохраненном ядре</x:v>
      </x:c>
      <x:c r="S9" s="3" t="str">
        <x:v>["SC01", "SC02", "SC09"]</x:v>
      </x:c>
      <x:c r="T9" s="3" t="str">
        <x:v>diagrams/village/village_structure.svg</x:v>
      </x:c>
      <x:c r="U9" s="3" t="str"/>
      <x:c r="V9" s="3" t="str">
        <x:v>https://tatarica.org/ru/razdely/municipalnye-obrazovaniya/municipalnye-rajony/arskij-rajon/novyj-kyrlaj
https://tatarica.org/ru/razdely/municipalnye-obrazovaniya/municipalnye-rajony/atninskij/staryj-menger
https://historicalethnology.org/news/2024-t9-n2-10/</x:v>
      </x:c>
    </x:row>
    <x:row r="10" ht="96" customHeight="1">
      <x:c r="A10" s="3" t="str">
        <x:v>SC09</x:v>
      </x:c>
      <x:c r="B10" s="3" t="str">
        <x:v>Путь к воде</x:v>
      </x:c>
      <x:c r="C10" s="3" t="str">
        <x:v>Предложено для игры</x:v>
      </x:c>
      <x:c r="D10" s="3" t="str">
        <x:v>2015 ±1</x:v>
      </x:c>
      <x:c r="E10" s="3" t="str">
        <x:v>Тропа 1,2 м; модельный ручей 2 м; мостик 1,5 м — все проектные, не ширина Ии</x:v>
      </x:c>
      <x:c r="F10" s="3" t="str"/>
      <x:c r="G10" s="3" t="str">
        <x:v>Тропа 1,2 м; модельный ручей 2 м; мостик 1,5 м — все проектные, не ширина Ии</x:v>
      </x:c>
      <x:c r="H10" s="3" t="str">
        <x:v>["A051", "A053"]</x:v>
      </x:c>
      <x:c r="I10" s="3" t="str">
        <x:v>["A052"]</x:v>
      </x:c>
      <x:c r="J10" s="3" t="str">
        <x:v>Добавлять только по биографии хозяйства и без блокировки проходов</x:v>
      </x:c>
      <x:c r="K10" s="3" t="str">
        <x:v>Берег ниже улицы в выбранном рельефе; вода не течет вверх ради композиции</x:v>
      </x:c>
      <x:c r="L10" s="3" t="str">
        <x:v>Материалы и износ — карточки соответствующих A-ID</x:v>
      </x:c>
      <x:c r="M10" s="3" t="str">
        <x:v>P-ID и сезонный атлас; точные садовые виды требуют проверки</x:v>
      </x:c>
      <x:c r="N10" s="3" t="str">
        <x:v>Касание, сток и движение; см. A-ID</x:v>
      </x:c>
      <x:c r="O10" s="3" t="str">
        <x:v>Весенний расход и летний пруд — разные состояния; лед не обещает безопасный переход</x:v>
      </x:c>
      <x:c r="P10" s="3" t="str">
        <x:v>["AV007"]</x:v>
      </x:c>
      <x:c r="Q10" s="3" t="str">
        <x:v>["S016", "S102"]</x:v>
      </x:c>
      <x:c r="R10" s="3" t="str">
        <x:v>V002</x:v>
      </x:c>
      <x:c r="S10" s="3" t="str">
        <x:v>["SC08", "SC10"]</x:v>
      </x:c>
      <x:c r="T10" s="3" t="str">
        <x:v>diagrams/village/landscape_transition.svg</x:v>
      </x:c>
      <x:c r="U10" s="3" t="str"/>
      <x:c r="V10" s="3" t="str">
        <x:v>https://tatarica.org/ru/razdely/priroda/gidrograficheskaya-set/reki/iya
https://commons.wikimedia.org/wiki/File:2014-07-15_14-02-02_Тукай-Кырлай.jpg</x:v>
      </x:c>
    </x:row>
    <x:row r="11" ht="96" customHeight="1">
      <x:c r="A11" s="3" t="str">
        <x:v>SC10</x:v>
      </x:c>
      <x:c r="B11" s="3" t="str">
        <x:v>Окраина и рабочее поле</x:v>
      </x:c>
      <x:c r="C11" s="3" t="str">
        <x:v>Предложено для игры</x:v>
      </x:c>
      <x:c r="D11" s="3" t="str">
        <x:v>2015 ±1</x:v>
      </x:c>
      <x:c r="E11" s="3" t="str">
        <x:v>После последних дворов оставить открытый промежуток 120 м в проекте</x:v>
      </x:c>
      <x:c r="F11" s="3" t="str"/>
      <x:c r="G11" s="3" t="str">
        <x:v>После последних дворов оставить открытый промежуток 120 м в проекте</x:v>
      </x:c>
      <x:c r="H11" s="3" t="str">
        <x:v>["A041", "A054"]</x:v>
      </x:c>
      <x:c r="I11" s="3" t="str">
        <x:v>["A039", "A045"]</x:v>
      </x:c>
      <x:c r="J11" s="3" t="str">
        <x:v>Добавлять только по биографии хозяйства и без блокировки проходов</x:v>
      </x:c>
      <x:c r="K11" s="3" t="str">
        <x:v>Задние границы участков, полевая дорога и водоотвод объясняют переход</x:v>
      </x:c>
      <x:c r="L11" s="3" t="str">
        <x:v>Материалы и износ — карточки соответствующих A-ID</x:v>
      </x:c>
      <x:c r="M11" s="3" t="str">
        <x:v>P-ID и сезонный атлас; точные садовые виды требуют проверки</x:v>
      </x:c>
      <x:c r="N11" s="3" t="str">
        <x:v>Касание, сток и движение; см. A-ID</x:v>
      </x:c>
      <x:c r="O11" s="3" t="str">
        <x:v>Работа в поле не постоянна; после уборки появляется другой силуэт горизонта</x:v>
      </x:c>
      <x:c r="P11" s="3" t="str">
        <x:v>["AV008", "AV001"]</x:v>
      </x:c>
      <x:c r="Q11" s="3" t="str">
        <x:v>["S016", "S017"]</x:v>
      </x:c>
      <x:c r="R11" s="3" t="str">
        <x:v>Нет прямого панорамного локального фото поля в ядре</x:v>
      </x:c>
      <x:c r="S11" s="3" t="str">
        <x:v>["SC04", "SC09", "SC11"]</x:v>
      </x:c>
      <x:c r="T11" s="3" t="str">
        <x:v>diagrams/village/landscape_transition.svg</x:v>
      </x:c>
      <x:c r="U11" s="3" t="str"/>
      <x:c r="V11" s="3" t="str">
        <x:v>https://tatarica.org/ru/razdely/priroda/gidrograficheskaya-set/reki/iya
https://tatarica.org/ru/razdely/municipalnye-obrazovaniya/municipalnye-rajony/arskij-rajon/arskij-rajon-1</x:v>
      </x:c>
    </x:row>
    <x:row r="12" ht="96" customHeight="1">
      <x:c r="A12" s="3" t="str">
        <x:v>SC11</x:v>
      </x:c>
      <x:c r="B12" s="3" t="str">
        <x:v>Опушка</x:v>
      </x:c>
      <x:c r="C12" s="3" t="str">
        <x:v>Предложено для игры</x:v>
      </x:c>
      <x:c r="D12" s="3" t="str">
        <x:v>2015 ±1</x:v>
      </x:c>
      <x:c r="E12" s="3" t="str">
        <x:v>Проектная переходная полоса 15 м; кусты/подрост/деревья не ровной стеной</x:v>
      </x:c>
      <x:c r="F12" s="3" t="str"/>
      <x:c r="G12" s="3" t="str">
        <x:v>Проектная переходная полоса 15 м; кусты/подрост/деревья не ровной стеной</x:v>
      </x:c>
      <x:c r="H12" s="3" t="str">
        <x:v>["A054", "A055"]</x:v>
      </x:c>
      <x:c r="I12" s="3" t="str">
        <x:v>["A053"]</x:v>
      </x:c>
      <x:c r="J12" s="3" t="str">
        <x:v>Добавлять только по биографии хозяйства и без блокировки проходов</x:v>
      </x:c>
      <x:c r="K12" s="3" t="str">
        <x:v>Полевой ветер и лесная тень меняются постепенно; сохраняется вид назад на открытое место</x:v>
      </x:c>
      <x:c r="L12" s="3" t="str">
        <x:v>Материалы и износ — карточки соответствующих A-ID</x:v>
      </x:c>
      <x:c r="M12" s="3" t="str">
        <x:v>P-ID и сезонный атлас; точные садовые виды требуют проверки</x:v>
      </x:c>
      <x:c r="N12" s="3" t="str">
        <x:v>Касание, сток и движение; см. A-ID</x:v>
      </x:c>
      <x:c r="O12" s="3" t="str">
        <x:v>До распускания листьев дальняя видимость выше; в разные даты разные звуковые кандидаты</x:v>
      </x:c>
      <x:c r="P12" s="3" t="str">
        <x:v>["AV009", "AV008"]</x:v>
      </x:c>
      <x:c r="Q12" s="3" t="str">
        <x:v>["S017", "S027"]</x:v>
      </x:c>
      <x:c r="R12" s="3" t="str">
        <x:v>V002 не заменяет обследование опушки</x:v>
      </x:c>
      <x:c r="S12" s="3" t="str">
        <x:v>["SC10", "SC12"]</x:v>
      </x:c>
      <x:c r="T12" s="3" t="str">
        <x:v>diagrams/village/landscape_transition.svg</x:v>
      </x:c>
      <x:c r="U12" s="3" t="str">
        <x:v>Отдельная художественная вариация: необычная речь/пауза/поведение без превращения обычного быта в этнический хоррор</x:v>
      </x:c>
      <x:c r="V12" s="3" t="str">
        <x:v>https://tatarica.org/ru/razdely/municipalnye-obrazovaniya/municipalnye-rajony/arskij-rajon/arskij-rajon-1
https://tatarica.org/ru/razdely/priroda/poleznye-iskopaemye/sabinskoe-lesnichestvo</x:v>
      </x:c>
    </x:row>
    <x:row r="13" ht="96" customHeight="1">
      <x:c r="A13" s="3" t="str">
        <x:v>SC12</x:v>
      </x:c>
      <x:c r="B13" s="3" t="str">
        <x:v>Лесной фрагмент</x:v>
      </x:c>
      <x:c r="C13" s="3" t="str">
        <x:v>Предложено для игры</x:v>
      </x:c>
      <x:c r="D13" s="3" t="str">
        <x:v>2015 ±1</x:v>
      </x:c>
      <x:c r="E13" s="3" t="str">
        <x:v>Проектный модуль глубиной 180 м; тропа около 1,2 м, не норматив</x:v>
      </x:c>
      <x:c r="F13" s="3" t="str"/>
      <x:c r="G13" s="3" t="str">
        <x:v>Проектный модуль глубиной 180 м; тропа около 1,2 м, не норматив</x:v>
      </x:c>
      <x:c r="H13" s="3" t="str">
        <x:v>["A055"]</x:v>
      </x:c>
      <x:c r="I13" s="3" t="str">
        <x:v>["A053"]</x:v>
      </x:c>
      <x:c r="J13" s="3" t="str">
        <x:v>Добавлять только по биографии хозяйства и без блокировки проходов</x:v>
      </x:c>
      <x:c r="K13" s="3" t="str">
        <x:v>Один выбранный лесной тип; валежник и проход объясняются деревьями и рельефом</x:v>
      </x:c>
      <x:c r="L13" s="3" t="str">
        <x:v>Материалы и износ — карточки соответствующих A-ID</x:v>
      </x:c>
      <x:c r="M13" s="3" t="str">
        <x:v>P-ID и сезонный атлас; точные садовые виды требуют проверки</x:v>
      </x:c>
      <x:c r="N13" s="3" t="str">
        <x:v>Касание, сток и движение; см. A-ID</x:v>
      </x:c>
      <x:c r="O13" s="3" t="str">
        <x:v>Лиственный опад, влажность подстилки и снег меняются вместе с сезоном</x:v>
      </x:c>
      <x:c r="P13" s="3" t="str">
        <x:v>["AV010", "AV016"]</x:v>
      </x:c>
      <x:c r="Q13" s="3" t="str">
        <x:v>["S017", "S027", "S031"]</x:v>
      </x:c>
      <x:c r="R13" s="3" t="str">
        <x:v>Нет серии детальных натурных фото естественного лесного квартала</x:v>
      </x:c>
      <x:c r="S13" s="3" t="str">
        <x:v>["SC11"]</x:v>
      </x:c>
      <x:c r="T13" s="3" t="str">
        <x:v>diagrams/village/landscape_transition.svg</x:v>
      </x:c>
      <x:c r="U13" s="3" t="str">
        <x:v>Отдельная художественная вариация: необычная речь/пауза/поведение без превращения обычного быта в этнический хоррор</x:v>
      </x:c>
      <x:c r="V13" s="3" t="str">
        <x:v>https://tatarica.org/ru/razdely/municipalnye-obrazovaniya/municipalnye-rajony/arskij-rajon/arskij-rajon-1
https://tatarica.org/ru/razdely/priroda/poleznye-iskopaemye/sabinskoe-lesnichestvo
https://tugan-tel.tatar/adabiyat/shigriyat/Gabdulla_Tukai/shurale.pdf</x:v>
      </x:c>
    </x:row>
  </x:sheetData>
  <x:conditionalFormatting sqref="C2:C13">
    <x:cfRule type="expression" dxfId="16" priority="1">
      <x:formula>C2="Предложено для игры"</x:formula>
    </x:cfRule>
    <x:cfRule type="expression" dxfId="17" priority="2">
      <x:formula>C2="Не установлено"</x:formula>
    </x:cfRule>
  </x:conditionalFormatting>
  <x:dataValidations count="1">
    <x:dataValidation type="list" sqref="C2:C13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6ef0337ca94310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3" hidden="0" customWidth="1"/>
    <x:col min="7" max="7" width="34" hidden="0" customWidth="1"/>
    <x:col min="8" max="8" width="34" hidden="0" customWidth="1"/>
    <x:col min="9" max="9" width="23" hidden="0" customWidth="1"/>
    <x:col min="10" max="10" width="34" hidden="0" customWidth="1"/>
    <x:col min="11" max="11" width="40" hidden="0" customWidth="1"/>
  </x:cols>
  <x:sheetData>
    <x:row r="1" ht="42" customHeight="1">
      <x:c r="A1" s="8" t="str">
        <x:v>light_id</x:v>
      </x:c>
      <x:c r="B1" s="8" t="str">
        <x:v>state</x:v>
      </x:c>
      <x:c r="C1" s="8" t="str">
        <x:v>assumed_latitude_deg</x:v>
      </x:c>
      <x:c r="D1" s="8" t="str">
        <x:v>declination_deg</x:v>
      </x:c>
      <x:c r="E1" s="8" t="str">
        <x:v>geometric_day_hours</x:v>
      </x:c>
      <x:c r="F1" s="8" t="str">
        <x:v>evidence_status</x:v>
      </x:c>
      <x:c r="G1" s="8" t="str">
        <x:v>method</x:v>
      </x:c>
      <x:c r="H1" s="8" t="str">
        <x:v>error</x:v>
      </x:c>
      <x:c r="I1" s="8" t="str">
        <x:v>source_ids</x:v>
      </x:c>
      <x:c r="J1" s="8" t="str">
        <x:v>application</x:v>
      </x:c>
      <x:c r="K1" s="8" t="str">
        <x:v>source_urls</x:v>
      </x:c>
    </x:row>
    <x:row r="2" ht="96" customHeight="1">
      <x:c r="A2" s="3" t="str">
        <x:v>LT01</x:v>
      </x:c>
      <x:c r="B2" s="3" t="str">
        <x:v>Мартовское равноденствие</x:v>
      </x:c>
      <x:c r="C2" s="3" t="n">
        <x:v>56.27</x:v>
      </x:c>
      <x:c r="D2" s="3" t="n">
        <x:v>0</x:v>
      </x:c>
      <x:c r="E2" s="3" t="n">
        <x:v>12</x:v>
      </x:c>
      <x:c r="F2" s="3" t="str">
        <x:v>Оценено</x:v>
      </x:c>
      <x:c r="G2" s="3" t="str">
        <x:v>D=(2/15) arccos(-tan(phi) tan(delta)), arccos в градусах; плоский горизонт; без рефракции и солнечного диска</x:v>
      </x:c>
      <x:c r="H2" s="3" t="str">
        <x:v>Это геометрическая модель, не точное время восхода. Ввод широты ±0,1°; итог применять приблизительно, не как прогноз погоды.</x:v>
      </x:c>
      <x:c r="I2" s="3" t="str">
        <x:v>["S040"]</x:v>
      </x:c>
      <x:c r="J2" s="3" t="str">
        <x:v>Управлять длительностью светлого периода и высотой солнца; часы сумерек отдельно не вычислены</x:v>
      </x:c>
      <x:c r="K2" s="3" t="str">
        <x:v>https://gml.noaa.gov/grad/solcalc/calcdetails.html</x:v>
      </x:c>
    </x:row>
    <x:row r="3" ht="96" customHeight="1">
      <x:c r="A3" s="3" t="str">
        <x:v>LT02</x:v>
      </x:c>
      <x:c r="B3" s="3" t="str">
        <x:v>Июньское солнцестояние</x:v>
      </x:c>
      <x:c r="C3" s="3" t="n">
        <x:v>56.27</x:v>
      </x:c>
      <x:c r="D3" s="3" t="n">
        <x:v>23.44</x:v>
      </x:c>
      <x:c r="E3" s="3" t="n">
        <x:v>17.4</x:v>
      </x:c>
      <x:c r="F3" s="3" t="str">
        <x:v>Оценено</x:v>
      </x:c>
      <x:c r="G3" s="3" t="str">
        <x:v>D=(2/15) arccos(-tan(phi) tan(delta)), arccos в градусах; плоский горизонт; без рефракции и солнечного диска</x:v>
      </x:c>
      <x:c r="H3" s="3" t="str">
        <x:v>Это геометрическая модель, не точное время восхода. Ввод широты ±0,1°; итог применять приблизительно, не как прогноз погоды.</x:v>
      </x:c>
      <x:c r="I3" s="3" t="str">
        <x:v>["S040"]</x:v>
      </x:c>
      <x:c r="J3" s="3" t="str">
        <x:v>Управлять длительностью светлого периода и высотой солнца; часы сумерек отдельно не вычислены</x:v>
      </x:c>
      <x:c r="K3" s="3" t="str">
        <x:v>https://gml.noaa.gov/grad/solcalc/calcdetails.html</x:v>
      </x:c>
    </x:row>
    <x:row r="4" ht="96" customHeight="1">
      <x:c r="A4" s="3" t="str">
        <x:v>LT03</x:v>
      </x:c>
      <x:c r="B4" s="3" t="str">
        <x:v>Сентябрьское равноденствие</x:v>
      </x:c>
      <x:c r="C4" s="3" t="n">
        <x:v>56.27</x:v>
      </x:c>
      <x:c r="D4" s="3" t="n">
        <x:v>0</x:v>
      </x:c>
      <x:c r="E4" s="3" t="n">
        <x:v>12</x:v>
      </x:c>
      <x:c r="F4" s="3" t="str">
        <x:v>Оценено</x:v>
      </x:c>
      <x:c r="G4" s="3" t="str">
        <x:v>D=(2/15) arccos(-tan(phi) tan(delta)), arccos в градусах; плоский горизонт; без рефракции и солнечного диска</x:v>
      </x:c>
      <x:c r="H4" s="3" t="str">
        <x:v>Это геометрическая модель, не точное время восхода. Ввод широты ±0,1°; итог применять приблизительно, не как прогноз погоды.</x:v>
      </x:c>
      <x:c r="I4" s="3" t="str">
        <x:v>["S040"]</x:v>
      </x:c>
      <x:c r="J4" s="3" t="str">
        <x:v>Управлять длительностью светлого периода и высотой солнца; часы сумерек отдельно не вычислены</x:v>
      </x:c>
      <x:c r="K4" s="3" t="str">
        <x:v>https://gml.noaa.gov/grad/solcalc/calcdetails.html</x:v>
      </x:c>
    </x:row>
    <x:row r="5" ht="96" customHeight="1">
      <x:c r="A5" s="3" t="str">
        <x:v>LT04</x:v>
      </x:c>
      <x:c r="B5" s="3" t="str">
        <x:v>Декабрьское солнцестояние</x:v>
      </x:c>
      <x:c r="C5" s="3" t="n">
        <x:v>56.27</x:v>
      </x:c>
      <x:c r="D5" s="3" t="n">
        <x:v>-23.44</x:v>
      </x:c>
      <x:c r="E5" s="3" t="n">
        <x:v>6.6</x:v>
      </x:c>
      <x:c r="F5" s="3" t="str">
        <x:v>Оценено</x:v>
      </x:c>
      <x:c r="G5" s="3" t="str">
        <x:v>D=(2/15) arccos(-tan(phi) tan(delta)), arccos в градусах; плоский горизонт; без рефракции и солнечного диска</x:v>
      </x:c>
      <x:c r="H5" s="3" t="str">
        <x:v>Это геометрическая модель, не точное время восхода. Ввод широты ±0,1°; итог применять приблизительно, не как прогноз погоды.</x:v>
      </x:c>
      <x:c r="I5" s="3" t="str">
        <x:v>["S040"]</x:v>
      </x:c>
      <x:c r="J5" s="3" t="str">
        <x:v>Управлять длительностью светлого периода и высотой солнца; часы сумерек отдельно не вычислены</x:v>
      </x:c>
      <x:c r="K5" s="3" t="str">
        <x:v>https://gml.noaa.gov/grad/solcalc/calcdetails.html</x:v>
      </x:c>
    </x:row>
  </x:sheetData>
  <x:conditionalFormatting sqref="F2:F5">
    <x:cfRule type="expression" dxfId="18" priority="1">
      <x:formula>F2="Предложено для игры"</x:formula>
    </x:cfRule>
    <x:cfRule type="expression" dxfId="19" priority="2">
      <x:formula>F2="Не установлено"</x:formula>
    </x:cfRule>
  </x:conditionalFormatting>
  <x:dataValidations count="1">
    <x:dataValidation type="list" sqref="F2:F5">
      <x:formula1>"Документировано,Наблюдается,Оценено,Предложено для игры,Не установлено"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79eb7df3b54838"/>
  </x:tableParts>
</x:worksheet>
</file>